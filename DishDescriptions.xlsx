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michaelhaase/Desktop/PlantJammer/Data/NewDataBases/"/>
    </mc:Choice>
  </mc:AlternateContent>
  <xr:revisionPtr revIDLastSave="0" documentId="13_ncr:1_{AF8D7DCF-B020-184E-9A63-C9BCC3B8DC41}" xr6:coauthVersionLast="47" xr6:coauthVersionMax="47" xr10:uidLastSave="{00000000-0000-0000-0000-000000000000}"/>
  <bookViews>
    <workbookView xWindow="0" yWindow="0" windowWidth="28800" windowHeight="18000" xr2:uid="{AEDA3FF7-97F0-8346-8477-25236FD5F979}"/>
  </bookViews>
  <sheets>
    <sheet name="DishNotes" sheetId="1" r:id="rId1"/>
    <sheet name="RecipeNotes" sheetId="4" r:id="rId2"/>
    <sheet name="CookingComponents" sheetId="3" r:id="rId3"/>
    <sheet name="DishDescriptions" sheetId="2" r:id="rId4"/>
  </sheets>
  <externalReferences>
    <externalReference r:id="rId5"/>
  </externalReferences>
  <definedNames>
    <definedName name="descriptions" localSheetId="3">DishDescriptions!$A$1:$K$591</definedName>
    <definedName name="Groups">RecipeNotes!$A$2:$A$36</definedName>
    <definedName name="recipe_notes" localSheetId="0">DishNotes!$A$1:$N$573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73" i="1" l="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G3" i="1"/>
  <c r="G573" i="1"/>
  <c r="G572" i="1"/>
  <c r="G571" i="1"/>
  <c r="G570" i="1"/>
  <c r="G569" i="1"/>
  <c r="G568" i="1"/>
  <c r="G566" i="1"/>
  <c r="G565" i="1"/>
  <c r="G564" i="1"/>
  <c r="G562" i="1"/>
  <c r="G561" i="1"/>
  <c r="G560" i="1"/>
  <c r="G559" i="1"/>
  <c r="G558" i="1"/>
  <c r="G557" i="1"/>
  <c r="G556" i="1"/>
  <c r="G555" i="1"/>
  <c r="G554" i="1"/>
  <c r="G553" i="1"/>
  <c r="G552" i="1"/>
  <c r="G551" i="1"/>
  <c r="G550" i="1"/>
  <c r="G549" i="1"/>
  <c r="G548" i="1"/>
  <c r="G547" i="1"/>
  <c r="G545" i="1"/>
  <c r="G544" i="1"/>
  <c r="G543" i="1"/>
  <c r="G541" i="1"/>
  <c r="G540" i="1"/>
  <c r="G539" i="1"/>
  <c r="G538" i="1"/>
  <c r="G537" i="1"/>
  <c r="G536" i="1"/>
  <c r="G535" i="1"/>
  <c r="G534" i="1"/>
  <c r="G533" i="1"/>
  <c r="G531" i="1"/>
  <c r="G530" i="1"/>
  <c r="G529" i="1"/>
  <c r="G528" i="1"/>
  <c r="G527" i="1"/>
  <c r="G526" i="1"/>
  <c r="G525" i="1"/>
  <c r="G524" i="1"/>
  <c r="G523" i="1"/>
  <c r="G522"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4" i="1"/>
  <c r="G143" i="1"/>
  <c r="G136" i="1"/>
  <c r="G135"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5" i="1"/>
  <c r="G13" i="1"/>
  <c r="G12" i="1"/>
  <c r="G11" i="1"/>
  <c r="G10" i="1"/>
  <c r="G9" i="1"/>
  <c r="G8" i="1"/>
  <c r="G7" i="1"/>
  <c r="G6" i="1"/>
  <c r="G4" i="1"/>
  <c r="E62" i="4"/>
  <c r="E61" i="4"/>
  <c r="E60" i="4"/>
  <c r="E59" i="4"/>
  <c r="E58" i="4"/>
  <c r="E57" i="4"/>
  <c r="E56" i="4"/>
  <c r="E55" i="4"/>
  <c r="E54" i="4"/>
  <c r="E53" i="4"/>
  <c r="E52" i="4"/>
  <c r="E51" i="4"/>
  <c r="E50" i="4"/>
  <c r="E49" i="4"/>
  <c r="E48" i="4"/>
  <c r="E47" i="4"/>
  <c r="E46" i="4"/>
  <c r="E45" i="4"/>
  <c r="E44" i="4"/>
  <c r="E43" i="4"/>
  <c r="E42" i="4"/>
  <c r="E41" i="4"/>
  <c r="E40" i="4"/>
  <c r="E39" i="4"/>
  <c r="E38"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 r="E394" i="2"/>
  <c r="E364" i="2"/>
  <c r="E363" i="2"/>
  <c r="E362" i="2"/>
  <c r="E361" i="2"/>
  <c r="E360" i="2"/>
  <c r="E359" i="2"/>
  <c r="E357" i="2"/>
  <c r="E354" i="2"/>
  <c r="E345" i="2"/>
  <c r="E341" i="2"/>
  <c r="E338" i="2"/>
  <c r="E336" i="2"/>
  <c r="E335" i="2"/>
  <c r="E334" i="2"/>
  <c r="E332" i="2"/>
  <c r="E331" i="2"/>
  <c r="E329" i="2"/>
  <c r="E322" i="2"/>
  <c r="E321" i="2"/>
  <c r="E320" i="2"/>
  <c r="E318" i="2"/>
  <c r="E317" i="2"/>
  <c r="E316" i="2"/>
  <c r="E310" i="2"/>
  <c r="E309" i="2"/>
  <c r="E296" i="2"/>
  <c r="E288" i="2"/>
  <c r="E281" i="2"/>
  <c r="E273" i="2"/>
  <c r="E205" i="2"/>
  <c r="E197" i="2"/>
  <c r="E196" i="2"/>
  <c r="E193" i="2"/>
  <c r="E189" i="2"/>
  <c r="E187" i="2"/>
  <c r="E182" i="2"/>
  <c r="E135" i="2"/>
  <c r="E19" i="2"/>
  <c r="E18" i="2"/>
  <c r="E16" i="2"/>
  <c r="E8" i="2"/>
  <c r="C52" i="4"/>
  <c r="C49" i="4"/>
  <c r="C50" i="4"/>
  <c r="D50" i="4" s="1"/>
  <c r="C48" i="4"/>
  <c r="D48" i="4" s="1"/>
  <c r="C61" i="4"/>
  <c r="D61" i="4" s="1"/>
  <c r="C60" i="4"/>
  <c r="C59" i="4"/>
  <c r="D59" i="4" s="1"/>
  <c r="C42" i="4"/>
  <c r="C39" i="4"/>
  <c r="C47" i="4"/>
  <c r="D47" i="4" s="1"/>
  <c r="C56" i="4"/>
  <c r="C55" i="4"/>
  <c r="D55" i="4" s="1"/>
  <c r="C58" i="4"/>
  <c r="D58" i="4" s="1"/>
  <c r="C57" i="4"/>
  <c r="D57" i="4" s="1"/>
  <c r="C62" i="4"/>
  <c r="D62" i="4" s="1"/>
  <c r="C54" i="4"/>
  <c r="D54" i="4" s="1"/>
  <c r="C53" i="4"/>
  <c r="D53" i="4" s="1"/>
  <c r="C51" i="4"/>
  <c r="D51" i="4" s="1"/>
  <c r="C46" i="4"/>
  <c r="D46" i="4" s="1"/>
  <c r="C45" i="4"/>
  <c r="D45" i="4" s="1"/>
  <c r="C5" i="4"/>
  <c r="C44" i="4"/>
  <c r="D44" i="4" s="1"/>
  <c r="C43" i="4"/>
  <c r="D43" i="4" s="1"/>
  <c r="D42" i="4"/>
  <c r="C41" i="4"/>
  <c r="D41" i="4" s="1"/>
  <c r="C40" i="4"/>
  <c r="D40" i="4" s="1"/>
  <c r="C38" i="4"/>
  <c r="D60" i="4"/>
  <c r="D52" i="4"/>
  <c r="D49" i="4"/>
  <c r="D39" i="4"/>
  <c r="F567" i="1"/>
  <c r="G567" i="1" s="1"/>
  <c r="F546" i="1"/>
  <c r="F563" i="1" s="1"/>
  <c r="G563" i="1" s="1"/>
  <c r="F542" i="1"/>
  <c r="G542" i="1" s="1"/>
  <c r="F532" i="1"/>
  <c r="G532" i="1" s="1"/>
  <c r="F521" i="1"/>
  <c r="G521" i="1" s="1"/>
  <c r="F491" i="1"/>
  <c r="G491" i="1" s="1"/>
  <c r="F137" i="1"/>
  <c r="F145" i="1" s="1"/>
  <c r="G145" i="1" s="1"/>
  <c r="F134" i="1"/>
  <c r="G134" i="1" s="1"/>
  <c r="F17" i="1"/>
  <c r="G17" i="1" s="1"/>
  <c r="F15" i="1"/>
  <c r="F14" i="1"/>
  <c r="F16" i="1" s="1"/>
  <c r="G16" i="1" s="1"/>
  <c r="F5" i="1"/>
  <c r="G5" i="1" s="1"/>
  <c r="C36" i="4"/>
  <c r="C35" i="4"/>
  <c r="D35" i="4" s="1"/>
  <c r="C34" i="4"/>
  <c r="D34" i="4" s="1"/>
  <c r="C33" i="4"/>
  <c r="C32" i="4"/>
  <c r="C31" i="4"/>
  <c r="D31" i="4" s="1"/>
  <c r="C30" i="4"/>
  <c r="D30" i="4" s="1"/>
  <c r="C29" i="4"/>
  <c r="C28" i="4"/>
  <c r="C27" i="4"/>
  <c r="D27" i="4" s="1"/>
  <c r="C26" i="4"/>
  <c r="C25" i="4"/>
  <c r="C24" i="4"/>
  <c r="D24" i="4" s="1"/>
  <c r="C23" i="4"/>
  <c r="D23" i="4" s="1"/>
  <c r="C22" i="4"/>
  <c r="D22" i="4" s="1"/>
  <c r="C21" i="4"/>
  <c r="D21" i="4" s="1"/>
  <c r="C20" i="4"/>
  <c r="D20" i="4" s="1"/>
  <c r="C19" i="4"/>
  <c r="D19" i="4" s="1"/>
  <c r="C18" i="4"/>
  <c r="D18" i="4" s="1"/>
  <c r="C17" i="4"/>
  <c r="D17" i="4" s="1"/>
  <c r="B17" i="4"/>
  <c r="C16" i="4"/>
  <c r="D16" i="4" s="1"/>
  <c r="C15" i="4"/>
  <c r="D15" i="4" s="1"/>
  <c r="C14" i="4"/>
  <c r="B14" i="4"/>
  <c r="C13" i="4"/>
  <c r="D13" i="4" s="1"/>
  <c r="B13" i="4"/>
  <c r="C12" i="4"/>
  <c r="D12" i="4" s="1"/>
  <c r="B12" i="4"/>
  <c r="C11" i="4"/>
  <c r="D11" i="4" s="1"/>
  <c r="B11" i="4"/>
  <c r="B15" i="4" s="1"/>
  <c r="C10" i="4"/>
  <c r="D10" i="4" s="1"/>
  <c r="B10" i="4"/>
  <c r="C9" i="4"/>
  <c r="D9" i="4" s="1"/>
  <c r="B9" i="4"/>
  <c r="B16" i="4" s="1"/>
  <c r="C8" i="4"/>
  <c r="D8" i="4" s="1"/>
  <c r="B8" i="4"/>
  <c r="C7" i="4"/>
  <c r="C6" i="4"/>
  <c r="D6" i="4" s="1"/>
  <c r="B6" i="4"/>
  <c r="D5" i="4"/>
  <c r="B5" i="4"/>
  <c r="C4" i="4"/>
  <c r="B4" i="4"/>
  <c r="C3" i="4"/>
  <c r="D3" i="4" s="1"/>
  <c r="B3" i="4"/>
  <c r="C2" i="4"/>
  <c r="D2" i="4" s="1"/>
  <c r="B2" i="4"/>
  <c r="I5" i="1" s="1"/>
  <c r="E3" i="2"/>
  <c r="E4" i="2"/>
  <c r="E5" i="2"/>
  <c r="E6" i="2"/>
  <c r="E7" i="2"/>
  <c r="E9" i="2"/>
  <c r="E10" i="2"/>
  <c r="E11" i="2"/>
  <c r="E12" i="2"/>
  <c r="E13" i="2"/>
  <c r="E14" i="2"/>
  <c r="E15" i="2"/>
  <c r="E17"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3" i="2"/>
  <c r="E184" i="2"/>
  <c r="E185" i="2"/>
  <c r="E186" i="2"/>
  <c r="E188" i="2"/>
  <c r="E190" i="2"/>
  <c r="E191" i="2"/>
  <c r="E192" i="2"/>
  <c r="E194" i="2"/>
  <c r="E195" i="2"/>
  <c r="E198" i="2"/>
  <c r="E199" i="2"/>
  <c r="E200" i="2"/>
  <c r="E201" i="2"/>
  <c r="E202" i="2"/>
  <c r="E203" i="2"/>
  <c r="E204"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4" i="2"/>
  <c r="E275" i="2"/>
  <c r="E276" i="2"/>
  <c r="E277" i="2"/>
  <c r="E278" i="2"/>
  <c r="E279" i="2"/>
  <c r="E280" i="2"/>
  <c r="E282" i="2"/>
  <c r="E283" i="2"/>
  <c r="E284" i="2"/>
  <c r="E285" i="2"/>
  <c r="E286" i="2"/>
  <c r="E287" i="2"/>
  <c r="E289" i="2"/>
  <c r="E290" i="2"/>
  <c r="E291" i="2"/>
  <c r="E292" i="2"/>
  <c r="E293" i="2"/>
  <c r="E294" i="2"/>
  <c r="E295" i="2"/>
  <c r="E297" i="2"/>
  <c r="E298" i="2"/>
  <c r="E299" i="2"/>
  <c r="E300" i="2"/>
  <c r="E301" i="2"/>
  <c r="E302" i="2"/>
  <c r="E303" i="2"/>
  <c r="E304" i="2"/>
  <c r="E305" i="2"/>
  <c r="E306" i="2"/>
  <c r="E307" i="2"/>
  <c r="E308" i="2"/>
  <c r="E311" i="2"/>
  <c r="E312" i="2"/>
  <c r="E313" i="2"/>
  <c r="E314" i="2"/>
  <c r="E315" i="2"/>
  <c r="E319" i="2"/>
  <c r="E323" i="2"/>
  <c r="E324" i="2"/>
  <c r="E325" i="2"/>
  <c r="E326" i="2"/>
  <c r="E327" i="2"/>
  <c r="E328" i="2"/>
  <c r="E330" i="2"/>
  <c r="E333" i="2"/>
  <c r="E337" i="2"/>
  <c r="E339" i="2"/>
  <c r="E340" i="2"/>
  <c r="E342" i="2"/>
  <c r="E343" i="2"/>
  <c r="E344" i="2"/>
  <c r="E346" i="2"/>
  <c r="E347" i="2"/>
  <c r="E348" i="2"/>
  <c r="E349" i="2"/>
  <c r="E350" i="2"/>
  <c r="E351" i="2"/>
  <c r="E352" i="2"/>
  <c r="E353" i="2"/>
  <c r="E355" i="2"/>
  <c r="E356" i="2"/>
  <c r="E358"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2" i="2"/>
  <c r="D533" i="2"/>
  <c r="D534" i="2"/>
  <c r="D411" i="2"/>
  <c r="D331" i="2"/>
  <c r="D3" i="2"/>
  <c r="D4" i="2"/>
  <c r="D5" i="2"/>
  <c r="D307" i="2"/>
  <c r="D412" i="2"/>
  <c r="D538" i="2"/>
  <c r="D413" i="2"/>
  <c r="D414" i="2"/>
  <c r="D147" i="2"/>
  <c r="D286" i="2"/>
  <c r="D539" i="2"/>
  <c r="D308" i="2"/>
  <c r="D415" i="2"/>
  <c r="D416" i="2"/>
  <c r="D20" i="2"/>
  <c r="D21" i="2"/>
  <c r="D417" i="2"/>
  <c r="D186" i="2"/>
  <c r="D367" i="2"/>
  <c r="D418" i="2"/>
  <c r="D419" i="2"/>
  <c r="D420" i="2"/>
  <c r="D137" i="2"/>
  <c r="D540" i="2"/>
  <c r="D148" i="2"/>
  <c r="D22" i="2"/>
  <c r="D421" i="2"/>
  <c r="D174" i="2"/>
  <c r="D149" i="2"/>
  <c r="D138" i="2"/>
  <c r="D187" i="2"/>
  <c r="D166" i="2"/>
  <c r="D397" i="2"/>
  <c r="D23" i="2"/>
  <c r="D24" i="2"/>
  <c r="D206" i="2"/>
  <c r="D207" i="2"/>
  <c r="D208" i="2"/>
  <c r="D209" i="2"/>
  <c r="D210" i="2"/>
  <c r="D211" i="2"/>
  <c r="D25" i="2"/>
  <c r="D26" i="2"/>
  <c r="D150" i="2"/>
  <c r="D139" i="2"/>
  <c r="D374" i="2"/>
  <c r="D422" i="2"/>
  <c r="D295" i="2"/>
  <c r="D135" i="2"/>
  <c r="D136" i="2"/>
  <c r="D112" i="2"/>
  <c r="D27" i="2"/>
  <c r="D28" i="2"/>
  <c r="D29" i="2"/>
  <c r="D423" i="2"/>
  <c r="D398" i="2"/>
  <c r="D424" i="2"/>
  <c r="D425" i="2"/>
  <c r="D399" i="2"/>
  <c r="D332" i="2"/>
  <c r="D426" i="2"/>
  <c r="D113" i="2"/>
  <c r="D188" i="2"/>
  <c r="D30" i="2"/>
  <c r="D287" i="2"/>
  <c r="D31" i="2"/>
  <c r="D427" i="2"/>
  <c r="D428" i="2"/>
  <c r="D271" i="2"/>
  <c r="D272" i="2"/>
  <c r="D429" i="2"/>
  <c r="D151" i="2"/>
  <c r="D262" i="2"/>
  <c r="D189" i="2"/>
  <c r="D375" i="2"/>
  <c r="D350" i="2"/>
  <c r="D114" i="2"/>
  <c r="D541" i="2"/>
  <c r="D430" i="2"/>
  <c r="D309" i="2"/>
  <c r="D115" i="2"/>
  <c r="D116" i="2"/>
  <c r="D152" i="2"/>
  <c r="D431" i="2"/>
  <c r="D376" i="2"/>
  <c r="D432" i="2"/>
  <c r="D433" i="2"/>
  <c r="D542" i="2"/>
  <c r="D400" i="2"/>
  <c r="D434" i="2"/>
  <c r="D266" i="2"/>
  <c r="D435" i="2"/>
  <c r="D179" i="2"/>
  <c r="D436" i="2"/>
  <c r="D153" i="2"/>
  <c r="D117" i="2"/>
  <c r="D437" i="2"/>
  <c r="D438" i="2"/>
  <c r="D439" i="2"/>
  <c r="D118" i="2"/>
  <c r="D32" i="2"/>
  <c r="D440" i="2"/>
  <c r="D333" i="2"/>
  <c r="D140" i="2"/>
  <c r="D377" i="2"/>
  <c r="D273" i="2"/>
  <c r="D274" i="2"/>
  <c r="D310" i="2"/>
  <c r="D33" i="2"/>
  <c r="D34" i="2"/>
  <c r="D441" i="2"/>
  <c r="D35" i="2"/>
  <c r="D36" i="2"/>
  <c r="D356" i="2"/>
  <c r="D6" i="2"/>
  <c r="D442" i="2"/>
  <c r="D443" i="2"/>
  <c r="D444" i="2"/>
  <c r="D357" i="2"/>
  <c r="D154" i="2"/>
  <c r="D37" i="2"/>
  <c r="D38" i="2"/>
  <c r="D39" i="2"/>
  <c r="D40" i="2"/>
  <c r="D119" i="2"/>
  <c r="D120" i="2"/>
  <c r="D212" i="2"/>
  <c r="D190" i="2"/>
  <c r="D302" i="2"/>
  <c r="D121" i="2"/>
  <c r="D275" i="2"/>
  <c r="D122" i="2"/>
  <c r="D41" i="2"/>
  <c r="D42" i="2"/>
  <c r="D43" i="2"/>
  <c r="D358" i="2"/>
  <c r="D543" i="2"/>
  <c r="D7" i="2"/>
  <c r="D167" i="2"/>
  <c r="D445" i="2"/>
  <c r="D446" i="2"/>
  <c r="D447" i="2"/>
  <c r="D368" i="2"/>
  <c r="D288" i="2"/>
  <c r="D44" i="2"/>
  <c r="D45" i="2"/>
  <c r="D46" i="2"/>
  <c r="D47" i="2"/>
  <c r="D359" i="2"/>
  <c r="D360" i="2"/>
  <c r="D311" i="2"/>
  <c r="D361" i="2"/>
  <c r="D312" i="2"/>
  <c r="D313" i="2"/>
  <c r="D362" i="2"/>
  <c r="D363" i="2"/>
  <c r="D364" i="2"/>
  <c r="D365" i="2"/>
  <c r="D314" i="2"/>
  <c r="D448" i="2"/>
  <c r="D449" i="2"/>
  <c r="D450" i="2"/>
  <c r="D451" i="2"/>
  <c r="D452" i="2"/>
  <c r="D453" i="2"/>
  <c r="D454" i="2"/>
  <c r="D455" i="2"/>
  <c r="D456" i="2"/>
  <c r="D334" i="2"/>
  <c r="D180" i="2"/>
  <c r="D544" i="2"/>
  <c r="D181" i="2"/>
  <c r="D296" i="2"/>
  <c r="D48" i="2"/>
  <c r="D155" i="2"/>
  <c r="D156" i="2"/>
  <c r="D267" i="2"/>
  <c r="D315" i="2"/>
  <c r="D191" i="2"/>
  <c r="D213" i="2"/>
  <c r="D214" i="2"/>
  <c r="D215" i="2"/>
  <c r="D216" i="2"/>
  <c r="D457" i="2"/>
  <c r="D123" i="2"/>
  <c r="D49" i="2"/>
  <c r="D289" i="2"/>
  <c r="D316" i="2"/>
  <c r="D458" i="2"/>
  <c r="D317" i="2"/>
  <c r="D217" i="2"/>
  <c r="D459" i="2"/>
  <c r="D168" i="2"/>
  <c r="D169" i="2"/>
  <c r="D318" i="2"/>
  <c r="D50" i="2"/>
  <c r="D297" i="2"/>
  <c r="D298" i="2"/>
  <c r="D401" i="2"/>
  <c r="D218" i="2"/>
  <c r="D51" i="2"/>
  <c r="D124" i="2"/>
  <c r="D125" i="2"/>
  <c r="D219" i="2"/>
  <c r="D220" i="2"/>
  <c r="D221" i="2"/>
  <c r="D222" i="2"/>
  <c r="D223" i="2"/>
  <c r="D224" i="2"/>
  <c r="D225" i="2"/>
  <c r="D226" i="2"/>
  <c r="D227" i="2"/>
  <c r="D228" i="2"/>
  <c r="D229" i="2"/>
  <c r="D230" i="2"/>
  <c r="D231" i="2"/>
  <c r="D232" i="2"/>
  <c r="D460" i="2"/>
  <c r="D461" i="2"/>
  <c r="D369" i="2"/>
  <c r="D52" i="2"/>
  <c r="D462" i="2"/>
  <c r="D53" i="2"/>
  <c r="D54" i="2"/>
  <c r="D55" i="2"/>
  <c r="D463" i="2"/>
  <c r="D464" i="2"/>
  <c r="D192" i="2"/>
  <c r="D299" i="2"/>
  <c r="D465" i="2"/>
  <c r="D335" i="2"/>
  <c r="D466" i="2"/>
  <c r="D56" i="2"/>
  <c r="D57" i="2"/>
  <c r="D126" i="2"/>
  <c r="D545" i="2"/>
  <c r="D402" i="2"/>
  <c r="D141" i="2"/>
  <c r="D467" i="2"/>
  <c r="D468" i="2"/>
  <c r="D469" i="2"/>
  <c r="D470" i="2"/>
  <c r="D276" i="2"/>
  <c r="D277" i="2"/>
  <c r="D58" i="2"/>
  <c r="D471" i="2"/>
  <c r="D319" i="2"/>
  <c r="D59" i="2"/>
  <c r="D278" i="2"/>
  <c r="D472" i="2"/>
  <c r="D290" i="2"/>
  <c r="D182" i="2"/>
  <c r="D183" i="2"/>
  <c r="D473" i="2"/>
  <c r="D193" i="2"/>
  <c r="D60" i="2"/>
  <c r="D8" i="2"/>
  <c r="D9" i="2"/>
  <c r="D474" i="2"/>
  <c r="D175" i="2"/>
  <c r="D336" i="2"/>
  <c r="D378" i="2"/>
  <c r="D61" i="2"/>
  <c r="D475" i="2"/>
  <c r="D10" i="2"/>
  <c r="D11" i="2"/>
  <c r="D12" i="2"/>
  <c r="D13" i="2"/>
  <c r="D194" i="2"/>
  <c r="D476" i="2"/>
  <c r="D62" i="2"/>
  <c r="D320" i="2"/>
  <c r="D63" i="2"/>
  <c r="D477" i="2"/>
  <c r="D390" i="2"/>
  <c r="D478" i="2"/>
  <c r="D64" i="2"/>
  <c r="D279" i="2"/>
  <c r="D142" i="2"/>
  <c r="D351" i="2"/>
  <c r="D479" i="2"/>
  <c r="D546" i="2"/>
  <c r="D480" i="2"/>
  <c r="D481" i="2"/>
  <c r="D482" i="2"/>
  <c r="D483" i="2"/>
  <c r="D484" i="2"/>
  <c r="D485" i="2"/>
  <c r="D486" i="2"/>
  <c r="D157" i="2"/>
  <c r="D158" i="2"/>
  <c r="D263" i="2"/>
  <c r="D300" i="2"/>
  <c r="D264" i="2"/>
  <c r="D547" i="2"/>
  <c r="D170" i="2"/>
  <c r="D171" i="2"/>
  <c r="D280" i="2"/>
  <c r="D281" i="2"/>
  <c r="D282" i="2"/>
  <c r="D548" i="2"/>
  <c r="D283" i="2"/>
  <c r="D487" i="2"/>
  <c r="D321" i="2"/>
  <c r="D159" i="2"/>
  <c r="D14" i="2"/>
  <c r="D549" i="2"/>
  <c r="D268" i="2"/>
  <c r="D65" i="2"/>
  <c r="D127" i="2"/>
  <c r="D354" i="2"/>
  <c r="D488" i="2"/>
  <c r="D489" i="2"/>
  <c r="D403" i="2"/>
  <c r="D550" i="2"/>
  <c r="D195" i="2"/>
  <c r="D551" i="2"/>
  <c r="D196" i="2"/>
  <c r="D379" i="2"/>
  <c r="D404" i="2"/>
  <c r="D552" i="2"/>
  <c r="D66" i="2"/>
  <c r="D490" i="2"/>
  <c r="D284" i="2"/>
  <c r="D67" i="2"/>
  <c r="D68" i="2"/>
  <c r="D69" i="2"/>
  <c r="D70" i="2"/>
  <c r="D337" i="2"/>
  <c r="D322" i="2"/>
  <c r="D71" i="2"/>
  <c r="D72" i="2"/>
  <c r="D73" i="2"/>
  <c r="D301" i="2"/>
  <c r="D491" i="2"/>
  <c r="D492" i="2"/>
  <c r="D323" i="2"/>
  <c r="D303" i="2"/>
  <c r="D74" i="2"/>
  <c r="D75" i="2"/>
  <c r="D15" i="2"/>
  <c r="D128" i="2"/>
  <c r="D493" i="2"/>
  <c r="D405" i="2"/>
  <c r="D553" i="2"/>
  <c r="D554" i="2"/>
  <c r="D555" i="2"/>
  <c r="D556" i="2"/>
  <c r="D557" i="2"/>
  <c r="D558" i="2"/>
  <c r="D197" i="2"/>
  <c r="D559" i="2"/>
  <c r="D176" i="2"/>
  <c r="D265" i="2"/>
  <c r="D324" i="2"/>
  <c r="D560" i="2"/>
  <c r="D561" i="2"/>
  <c r="D562" i="2"/>
  <c r="D563" i="2"/>
  <c r="D564" i="2"/>
  <c r="D565" i="2"/>
  <c r="D325" i="2"/>
  <c r="D566" i="2"/>
  <c r="D567" i="2"/>
  <c r="D568" i="2"/>
  <c r="D569" i="2"/>
  <c r="D570" i="2"/>
  <c r="D571" i="2"/>
  <c r="D370" i="2"/>
  <c r="D326" i="2"/>
  <c r="D327" i="2"/>
  <c r="D494" i="2"/>
  <c r="D495" i="2"/>
  <c r="D76" i="2"/>
  <c r="D338" i="2"/>
  <c r="D77" i="2"/>
  <c r="D2" i="2"/>
  <c r="D496" i="2"/>
  <c r="D371" i="2"/>
  <c r="D198" i="2"/>
  <c r="D199" i="2"/>
  <c r="D497" i="2"/>
  <c r="D355" i="2"/>
  <c r="D380" i="2"/>
  <c r="D200" i="2"/>
  <c r="D184" i="2"/>
  <c r="D572" i="2"/>
  <c r="D498" i="2"/>
  <c r="D573" i="2"/>
  <c r="D499" i="2"/>
  <c r="D381" i="2"/>
  <c r="D500" i="2"/>
  <c r="D501" i="2"/>
  <c r="D574" i="2"/>
  <c r="D143" i="2"/>
  <c r="D502" i="2"/>
  <c r="D78" i="2"/>
  <c r="D328" i="2"/>
  <c r="D382" i="2"/>
  <c r="D575" i="2"/>
  <c r="D304" i="2"/>
  <c r="D503" i="2"/>
  <c r="D144" i="2"/>
  <c r="D79" i="2"/>
  <c r="D504" i="2"/>
  <c r="D339" i="2"/>
  <c r="D16" i="2"/>
  <c r="D172" i="2"/>
  <c r="D340" i="2"/>
  <c r="D341" i="2"/>
  <c r="D233" i="2"/>
  <c r="D80" i="2"/>
  <c r="D81" i="2"/>
  <c r="D82" i="2"/>
  <c r="D83" i="2"/>
  <c r="D84" i="2"/>
  <c r="D85" i="2"/>
  <c r="D406" i="2"/>
  <c r="D576" i="2"/>
  <c r="D86" i="2"/>
  <c r="D201" i="2"/>
  <c r="D202" i="2"/>
  <c r="D342" i="2"/>
  <c r="D305" i="2"/>
  <c r="D160" i="2"/>
  <c r="D161" i="2"/>
  <c r="D87" i="2"/>
  <c r="D173" i="2"/>
  <c r="D505" i="2"/>
  <c r="D88" i="2"/>
  <c r="D89" i="2"/>
  <c r="D90" i="2"/>
  <c r="D343" i="2"/>
  <c r="D269" i="2"/>
  <c r="D506" i="2"/>
  <c r="D507" i="2"/>
  <c r="D91" i="2"/>
  <c r="D352" i="2"/>
  <c r="D577" i="2"/>
  <c r="D508" i="2"/>
  <c r="D578" i="2"/>
  <c r="D353" i="2"/>
  <c r="D92" i="2"/>
  <c r="D93" i="2"/>
  <c r="D94" i="2"/>
  <c r="D291" i="2"/>
  <c r="D509" i="2"/>
  <c r="D510" i="2"/>
  <c r="D511" i="2"/>
  <c r="D512" i="2"/>
  <c r="D17" i="2"/>
  <c r="D18" i="2"/>
  <c r="D203" i="2"/>
  <c r="D579" i="2"/>
  <c r="D95" i="2"/>
  <c r="D513" i="2"/>
  <c r="D344" i="2"/>
  <c r="D164" i="2"/>
  <c r="D96" i="2"/>
  <c r="D97" i="2"/>
  <c r="D98" i="2"/>
  <c r="D329" i="2"/>
  <c r="D372" i="2"/>
  <c r="D373" i="2"/>
  <c r="D234" i="2"/>
  <c r="D514" i="2"/>
  <c r="D580" i="2"/>
  <c r="D515" i="2"/>
  <c r="D516" i="2"/>
  <c r="D162" i="2"/>
  <c r="D517" i="2"/>
  <c r="D407" i="2"/>
  <c r="D345" i="2"/>
  <c r="D383" i="2"/>
  <c r="D408" i="2"/>
  <c r="D409" i="2"/>
  <c r="D235" i="2"/>
  <c r="D236" i="2"/>
  <c r="D237" i="2"/>
  <c r="D238" i="2"/>
  <c r="D239" i="2"/>
  <c r="D240" i="2"/>
  <c r="D241" i="2"/>
  <c r="D242" i="2"/>
  <c r="D99" i="2"/>
  <c r="D581" i="2"/>
  <c r="D386" i="2"/>
  <c r="D292" i="2"/>
  <c r="D387" i="2"/>
  <c r="D388" i="2"/>
  <c r="D389" i="2"/>
  <c r="D582" i="2"/>
  <c r="D346" i="2"/>
  <c r="D243" i="2"/>
  <c r="D244" i="2"/>
  <c r="D245" i="2"/>
  <c r="D246" i="2"/>
  <c r="D247" i="2"/>
  <c r="D248" i="2"/>
  <c r="D249" i="2"/>
  <c r="D250" i="2"/>
  <c r="D251" i="2"/>
  <c r="D252" i="2"/>
  <c r="D253" i="2"/>
  <c r="D254" i="2"/>
  <c r="D129" i="2"/>
  <c r="D255" i="2"/>
  <c r="D256" i="2"/>
  <c r="D257" i="2"/>
  <c r="D258" i="2"/>
  <c r="D259" i="2"/>
  <c r="D260" i="2"/>
  <c r="D261" i="2"/>
  <c r="D177" i="2"/>
  <c r="D145" i="2"/>
  <c r="D384" i="2"/>
  <c r="D410" i="2"/>
  <c r="D306" i="2"/>
  <c r="D518" i="2"/>
  <c r="D583" i="2"/>
  <c r="D130" i="2"/>
  <c r="D131" i="2"/>
  <c r="D293" i="2"/>
  <c r="D584" i="2"/>
  <c r="D294" i="2"/>
  <c r="D519" i="2"/>
  <c r="D391" i="2"/>
  <c r="D392" i="2"/>
  <c r="D393" i="2"/>
  <c r="D394" i="2"/>
  <c r="D520" i="2"/>
  <c r="D521" i="2"/>
  <c r="D522" i="2"/>
  <c r="D523" i="2"/>
  <c r="D524" i="2"/>
  <c r="D525" i="2"/>
  <c r="D526" i="2"/>
  <c r="D527" i="2"/>
  <c r="D528" i="2"/>
  <c r="D529" i="2"/>
  <c r="D530" i="2"/>
  <c r="D185" i="2"/>
  <c r="D132" i="2"/>
  <c r="D133" i="2"/>
  <c r="D347" i="2"/>
  <c r="D19" i="2"/>
  <c r="D285" i="2"/>
  <c r="D134" i="2"/>
  <c r="D146" i="2"/>
  <c r="D163" i="2"/>
  <c r="D100" i="2"/>
  <c r="D101" i="2"/>
  <c r="D102" i="2"/>
  <c r="D103" i="2"/>
  <c r="D104" i="2"/>
  <c r="D531" i="2"/>
  <c r="D395" i="2"/>
  <c r="D105" i="2"/>
  <c r="D106" i="2"/>
  <c r="D107" i="2"/>
  <c r="D108" i="2"/>
  <c r="D165" i="2"/>
  <c r="D109" i="2"/>
  <c r="D178" i="2"/>
  <c r="D110" i="2"/>
  <c r="D111" i="2"/>
  <c r="D585" i="2"/>
  <c r="D586" i="2"/>
  <c r="D385" i="2"/>
  <c r="D587" i="2"/>
  <c r="D588" i="2"/>
  <c r="D589" i="2"/>
  <c r="D396" i="2"/>
  <c r="D590" i="2"/>
  <c r="D348" i="2"/>
  <c r="D349" i="2"/>
  <c r="D532" i="2"/>
  <c r="D204" i="2"/>
  <c r="D535" i="2"/>
  <c r="D591" i="2"/>
  <c r="D270" i="2"/>
  <c r="D330" i="2"/>
  <c r="D536" i="2"/>
  <c r="D205" i="2"/>
  <c r="D537" i="2"/>
  <c r="D366" i="2"/>
  <c r="D411" i="1"/>
  <c r="D331" i="1"/>
  <c r="D3" i="1"/>
  <c r="D4" i="1"/>
  <c r="D5" i="1"/>
  <c r="D307" i="1"/>
  <c r="D412" i="1"/>
  <c r="D538" i="1"/>
  <c r="D413" i="1"/>
  <c r="D414" i="1"/>
  <c r="D147" i="1"/>
  <c r="D286" i="1"/>
  <c r="D539" i="1"/>
  <c r="D308" i="1"/>
  <c r="D415" i="1"/>
  <c r="D416" i="1"/>
  <c r="D20" i="1"/>
  <c r="D21" i="1"/>
  <c r="D417" i="1"/>
  <c r="D186" i="1"/>
  <c r="D367" i="1"/>
  <c r="D418" i="1"/>
  <c r="D419" i="1"/>
  <c r="D420" i="1"/>
  <c r="D137" i="1"/>
  <c r="D540" i="1"/>
  <c r="D148" i="1"/>
  <c r="D22" i="1"/>
  <c r="D421" i="1"/>
  <c r="D174" i="1"/>
  <c r="D149" i="1"/>
  <c r="D138" i="1"/>
  <c r="D187" i="1"/>
  <c r="D166" i="1"/>
  <c r="D397" i="1"/>
  <c r="D23" i="1"/>
  <c r="D24" i="1"/>
  <c r="D206" i="1"/>
  <c r="D207" i="1"/>
  <c r="D208" i="1"/>
  <c r="D209" i="1"/>
  <c r="D210" i="1"/>
  <c r="D211" i="1"/>
  <c r="D25" i="1"/>
  <c r="D26" i="1"/>
  <c r="D150" i="1"/>
  <c r="D139" i="1"/>
  <c r="D374" i="1"/>
  <c r="D422" i="1"/>
  <c r="D295" i="1"/>
  <c r="D135" i="1"/>
  <c r="D136" i="1"/>
  <c r="D112" i="1"/>
  <c r="D27" i="1"/>
  <c r="D28" i="1"/>
  <c r="D29" i="1"/>
  <c r="D423" i="1"/>
  <c r="D398" i="1"/>
  <c r="D424" i="1"/>
  <c r="D425" i="1"/>
  <c r="D399" i="1"/>
  <c r="D332" i="1"/>
  <c r="D426" i="1"/>
  <c r="D113" i="1"/>
  <c r="D188" i="1"/>
  <c r="D30" i="1"/>
  <c r="D287" i="1"/>
  <c r="D31" i="1"/>
  <c r="D427" i="1"/>
  <c r="D428" i="1"/>
  <c r="D271" i="1"/>
  <c r="D272" i="1"/>
  <c r="D429" i="1"/>
  <c r="D151" i="1"/>
  <c r="D262" i="1"/>
  <c r="D189" i="1"/>
  <c r="D375" i="1"/>
  <c r="D350" i="1"/>
  <c r="D114" i="1"/>
  <c r="D541" i="1"/>
  <c r="D430" i="1"/>
  <c r="D309" i="1"/>
  <c r="D115" i="1"/>
  <c r="D116" i="1"/>
  <c r="D152" i="1"/>
  <c r="D431" i="1"/>
  <c r="D376" i="1"/>
  <c r="D432" i="1"/>
  <c r="D433" i="1"/>
  <c r="D542" i="1"/>
  <c r="D400" i="1"/>
  <c r="D434" i="1"/>
  <c r="D266" i="1"/>
  <c r="D435" i="1"/>
  <c r="D179" i="1"/>
  <c r="D436" i="1"/>
  <c r="D153" i="1"/>
  <c r="D117" i="1"/>
  <c r="D437" i="1"/>
  <c r="D438" i="1"/>
  <c r="D439" i="1"/>
  <c r="D118" i="1"/>
  <c r="D32" i="1"/>
  <c r="D440" i="1"/>
  <c r="D333" i="1"/>
  <c r="D140" i="1"/>
  <c r="D377" i="1"/>
  <c r="D273" i="1"/>
  <c r="D274" i="1"/>
  <c r="D310" i="1"/>
  <c r="D33" i="1"/>
  <c r="D34" i="1"/>
  <c r="D441" i="1"/>
  <c r="D35" i="1"/>
  <c r="D36" i="1"/>
  <c r="D356" i="1"/>
  <c r="D6" i="1"/>
  <c r="D442" i="1"/>
  <c r="D443" i="1"/>
  <c r="D444" i="1"/>
  <c r="D357" i="1"/>
  <c r="D154" i="1"/>
  <c r="D37" i="1"/>
  <c r="D38" i="1"/>
  <c r="D39" i="1"/>
  <c r="D40" i="1"/>
  <c r="D119" i="1"/>
  <c r="D120" i="1"/>
  <c r="D212" i="1"/>
  <c r="D190" i="1"/>
  <c r="D302" i="1"/>
  <c r="D121" i="1"/>
  <c r="D275" i="1"/>
  <c r="D122" i="1"/>
  <c r="D41" i="1"/>
  <c r="D42" i="1"/>
  <c r="D43" i="1"/>
  <c r="D358" i="1"/>
  <c r="D543" i="1"/>
  <c r="D7" i="1"/>
  <c r="D167" i="1"/>
  <c r="D445" i="1"/>
  <c r="D446" i="1"/>
  <c r="D447" i="1"/>
  <c r="D368" i="1"/>
  <c r="D288" i="1"/>
  <c r="D44" i="1"/>
  <c r="D45" i="1"/>
  <c r="D46" i="1"/>
  <c r="D47" i="1"/>
  <c r="D359" i="1"/>
  <c r="D360" i="1"/>
  <c r="D311" i="1"/>
  <c r="D361" i="1"/>
  <c r="D312" i="1"/>
  <c r="D313" i="1"/>
  <c r="D362" i="1"/>
  <c r="D363" i="1"/>
  <c r="D364" i="1"/>
  <c r="D365" i="1"/>
  <c r="D314" i="1"/>
  <c r="D448" i="1"/>
  <c r="D449" i="1"/>
  <c r="D450" i="1"/>
  <c r="D451" i="1"/>
  <c r="D452" i="1"/>
  <c r="D453" i="1"/>
  <c r="D454" i="1"/>
  <c r="D455" i="1"/>
  <c r="D456" i="1"/>
  <c r="D334" i="1"/>
  <c r="D180" i="1"/>
  <c r="D544" i="1"/>
  <c r="D181" i="1"/>
  <c r="D296" i="1"/>
  <c r="D48" i="1"/>
  <c r="D155" i="1"/>
  <c r="D156" i="1"/>
  <c r="D267" i="1"/>
  <c r="D315" i="1"/>
  <c r="D191" i="1"/>
  <c r="D213" i="1"/>
  <c r="D214" i="1"/>
  <c r="D215" i="1"/>
  <c r="D216" i="1"/>
  <c r="D457" i="1"/>
  <c r="D123" i="1"/>
  <c r="D49" i="1"/>
  <c r="D289" i="1"/>
  <c r="D316" i="1"/>
  <c r="D458" i="1"/>
  <c r="D317" i="1"/>
  <c r="D217" i="1"/>
  <c r="D459" i="1"/>
  <c r="D168" i="1"/>
  <c r="D169" i="1"/>
  <c r="D318" i="1"/>
  <c r="D50" i="1"/>
  <c r="D297" i="1"/>
  <c r="D298" i="1"/>
  <c r="D401" i="1"/>
  <c r="D218" i="1"/>
  <c r="D51" i="1"/>
  <c r="D124" i="1"/>
  <c r="D125" i="1"/>
  <c r="D219" i="1"/>
  <c r="D220" i="1"/>
  <c r="D221" i="1"/>
  <c r="D222" i="1"/>
  <c r="D223" i="1"/>
  <c r="D224" i="1"/>
  <c r="D225" i="1"/>
  <c r="D226" i="1"/>
  <c r="D227" i="1"/>
  <c r="D228" i="1"/>
  <c r="D229" i="1"/>
  <c r="D230" i="1"/>
  <c r="D231" i="1"/>
  <c r="D232" i="1"/>
  <c r="D460" i="1"/>
  <c r="D461" i="1"/>
  <c r="D369" i="1"/>
  <c r="D52" i="1"/>
  <c r="D462" i="1"/>
  <c r="D53" i="1"/>
  <c r="D54" i="1"/>
  <c r="D55" i="1"/>
  <c r="D463" i="1"/>
  <c r="D464" i="1"/>
  <c r="D192" i="1"/>
  <c r="D299" i="1"/>
  <c r="D465" i="1"/>
  <c r="D335" i="1"/>
  <c r="D466" i="1"/>
  <c r="D56" i="1"/>
  <c r="D57" i="1"/>
  <c r="D126" i="1"/>
  <c r="D545" i="1"/>
  <c r="D402" i="1"/>
  <c r="D141" i="1"/>
  <c r="D467" i="1"/>
  <c r="D468" i="1"/>
  <c r="D469" i="1"/>
  <c r="D470" i="1"/>
  <c r="D276" i="1"/>
  <c r="D277" i="1"/>
  <c r="D58" i="1"/>
  <c r="D471" i="1"/>
  <c r="D319" i="1"/>
  <c r="D59" i="1"/>
  <c r="D278" i="1"/>
  <c r="D472" i="1"/>
  <c r="D290" i="1"/>
  <c r="D182" i="1"/>
  <c r="D183" i="1"/>
  <c r="D473" i="1"/>
  <c r="D193" i="1"/>
  <c r="D60" i="1"/>
  <c r="D8" i="1"/>
  <c r="D9" i="1"/>
  <c r="D474" i="1"/>
  <c r="D175" i="1"/>
  <c r="D336" i="1"/>
  <c r="D378" i="1"/>
  <c r="D61" i="1"/>
  <c r="D475" i="1"/>
  <c r="D10" i="1"/>
  <c r="D11" i="1"/>
  <c r="D12" i="1"/>
  <c r="D13" i="1"/>
  <c r="D194" i="1"/>
  <c r="D476" i="1"/>
  <c r="D62" i="1"/>
  <c r="D320" i="1"/>
  <c r="D63" i="1"/>
  <c r="D477" i="1"/>
  <c r="D390" i="1"/>
  <c r="D478" i="1"/>
  <c r="D64" i="1"/>
  <c r="D279" i="1"/>
  <c r="D142" i="1"/>
  <c r="D351" i="1"/>
  <c r="D479" i="1"/>
  <c r="D546" i="1"/>
  <c r="D480" i="1"/>
  <c r="D481" i="1"/>
  <c r="D482" i="1"/>
  <c r="D483" i="1"/>
  <c r="D484" i="1"/>
  <c r="D485" i="1"/>
  <c r="D486" i="1"/>
  <c r="D157" i="1"/>
  <c r="D158" i="1"/>
  <c r="D263" i="1"/>
  <c r="D300" i="1"/>
  <c r="D264" i="1"/>
  <c r="D547" i="1"/>
  <c r="D170" i="1"/>
  <c r="D171" i="1"/>
  <c r="D280" i="1"/>
  <c r="D281" i="1"/>
  <c r="D282" i="1"/>
  <c r="D548" i="1"/>
  <c r="D283" i="1"/>
  <c r="D487" i="1"/>
  <c r="D321" i="1"/>
  <c r="D159" i="1"/>
  <c r="D14" i="1"/>
  <c r="D549" i="1"/>
  <c r="D268" i="1"/>
  <c r="D65" i="1"/>
  <c r="D127" i="1"/>
  <c r="D354" i="1"/>
  <c r="D488" i="1"/>
  <c r="D489" i="1"/>
  <c r="D403" i="1"/>
  <c r="D550" i="1"/>
  <c r="D195" i="1"/>
  <c r="D551" i="1"/>
  <c r="D196" i="1"/>
  <c r="D379" i="1"/>
  <c r="D404" i="1"/>
  <c r="D552" i="1"/>
  <c r="D66" i="1"/>
  <c r="D490" i="1"/>
  <c r="D284" i="1"/>
  <c r="D67" i="1"/>
  <c r="D68" i="1"/>
  <c r="D69" i="1"/>
  <c r="D70" i="1"/>
  <c r="D337" i="1"/>
  <c r="D322" i="1"/>
  <c r="D71" i="1"/>
  <c r="D72" i="1"/>
  <c r="D73" i="1"/>
  <c r="D301" i="1"/>
  <c r="D491" i="1"/>
  <c r="D492" i="1"/>
  <c r="D323" i="1"/>
  <c r="D303" i="1"/>
  <c r="D74" i="1"/>
  <c r="D75" i="1"/>
  <c r="D15" i="1"/>
  <c r="D128" i="1"/>
  <c r="D493" i="1"/>
  <c r="D405" i="1"/>
  <c r="D197" i="1"/>
  <c r="D553" i="1"/>
  <c r="D176" i="1"/>
  <c r="D265" i="1"/>
  <c r="D324" i="1"/>
  <c r="D325" i="1"/>
  <c r="D370" i="1"/>
  <c r="D326" i="1"/>
  <c r="D327" i="1"/>
  <c r="D494" i="1"/>
  <c r="D495" i="1"/>
  <c r="D76" i="1"/>
  <c r="D338" i="1"/>
  <c r="D77" i="1"/>
  <c r="D2" i="1"/>
  <c r="D496" i="1"/>
  <c r="D371" i="1"/>
  <c r="D198" i="1"/>
  <c r="D199" i="1"/>
  <c r="D497" i="1"/>
  <c r="D355" i="1"/>
  <c r="D380" i="1"/>
  <c r="D200" i="1"/>
  <c r="D184" i="1"/>
  <c r="D554" i="1"/>
  <c r="D498" i="1"/>
  <c r="D555" i="1"/>
  <c r="D499" i="1"/>
  <c r="D381" i="1"/>
  <c r="D500" i="1"/>
  <c r="D501" i="1"/>
  <c r="D556" i="1"/>
  <c r="D143" i="1"/>
  <c r="D502" i="1"/>
  <c r="D78" i="1"/>
  <c r="D328" i="1"/>
  <c r="D382" i="1"/>
  <c r="D557" i="1"/>
  <c r="D304" i="1"/>
  <c r="D503" i="1"/>
  <c r="D144" i="1"/>
  <c r="D79" i="1"/>
  <c r="D504" i="1"/>
  <c r="D339" i="1"/>
  <c r="D16" i="1"/>
  <c r="D172" i="1"/>
  <c r="D340" i="1"/>
  <c r="D341" i="1"/>
  <c r="D233" i="1"/>
  <c r="D80" i="1"/>
  <c r="D81" i="1"/>
  <c r="D82" i="1"/>
  <c r="D83" i="1"/>
  <c r="D84" i="1"/>
  <c r="D85" i="1"/>
  <c r="D406" i="1"/>
  <c r="D558" i="1"/>
  <c r="D86" i="1"/>
  <c r="D201" i="1"/>
  <c r="D202" i="1"/>
  <c r="D342" i="1"/>
  <c r="D305" i="1"/>
  <c r="D160" i="1"/>
  <c r="D161" i="1"/>
  <c r="D87" i="1"/>
  <c r="D173" i="1"/>
  <c r="D505" i="1"/>
  <c r="D88" i="1"/>
  <c r="D89" i="1"/>
  <c r="D90" i="1"/>
  <c r="D343" i="1"/>
  <c r="D269" i="1"/>
  <c r="D506" i="1"/>
  <c r="D507" i="1"/>
  <c r="D91" i="1"/>
  <c r="D352" i="1"/>
  <c r="D559" i="1"/>
  <c r="D508" i="1"/>
  <c r="D560" i="1"/>
  <c r="D353" i="1"/>
  <c r="D92" i="1"/>
  <c r="D93" i="1"/>
  <c r="D94" i="1"/>
  <c r="D291" i="1"/>
  <c r="D509" i="1"/>
  <c r="D510" i="1"/>
  <c r="D511" i="1"/>
  <c r="D512" i="1"/>
  <c r="D17" i="1"/>
  <c r="D18" i="1"/>
  <c r="D203" i="1"/>
  <c r="D561" i="1"/>
  <c r="D95" i="1"/>
  <c r="D513" i="1"/>
  <c r="D344" i="1"/>
  <c r="D164" i="1"/>
  <c r="D96" i="1"/>
  <c r="D97" i="1"/>
  <c r="D98" i="1"/>
  <c r="D329" i="1"/>
  <c r="D372" i="1"/>
  <c r="D373" i="1"/>
  <c r="D234" i="1"/>
  <c r="D514" i="1"/>
  <c r="D562" i="1"/>
  <c r="D515" i="1"/>
  <c r="D516" i="1"/>
  <c r="D162" i="1"/>
  <c r="D517" i="1"/>
  <c r="D407" i="1"/>
  <c r="D345" i="1"/>
  <c r="D383" i="1"/>
  <c r="D408" i="1"/>
  <c r="D409" i="1"/>
  <c r="D235" i="1"/>
  <c r="D236" i="1"/>
  <c r="D237" i="1"/>
  <c r="D238" i="1"/>
  <c r="D239" i="1"/>
  <c r="D240" i="1"/>
  <c r="D241" i="1"/>
  <c r="D242" i="1"/>
  <c r="D99" i="1"/>
  <c r="D563" i="1"/>
  <c r="D386" i="1"/>
  <c r="D292" i="1"/>
  <c r="D387" i="1"/>
  <c r="D388" i="1"/>
  <c r="D389" i="1"/>
  <c r="D564" i="1"/>
  <c r="D346" i="1"/>
  <c r="D243" i="1"/>
  <c r="D244" i="1"/>
  <c r="D245" i="1"/>
  <c r="D246" i="1"/>
  <c r="D247" i="1"/>
  <c r="D248" i="1"/>
  <c r="D249" i="1"/>
  <c r="D250" i="1"/>
  <c r="D251" i="1"/>
  <c r="D252" i="1"/>
  <c r="D253" i="1"/>
  <c r="D254" i="1"/>
  <c r="D129" i="1"/>
  <c r="D255" i="1"/>
  <c r="D256" i="1"/>
  <c r="D257" i="1"/>
  <c r="D258" i="1"/>
  <c r="D259" i="1"/>
  <c r="D260" i="1"/>
  <c r="D261" i="1"/>
  <c r="D177" i="1"/>
  <c r="D145" i="1"/>
  <c r="D384" i="1"/>
  <c r="D410" i="1"/>
  <c r="D306" i="1"/>
  <c r="D518" i="1"/>
  <c r="D565" i="1"/>
  <c r="D130" i="1"/>
  <c r="D131" i="1"/>
  <c r="D293" i="1"/>
  <c r="D566" i="1"/>
  <c r="D294" i="1"/>
  <c r="D519" i="1"/>
  <c r="D391" i="1"/>
  <c r="D392" i="1"/>
  <c r="D393" i="1"/>
  <c r="D394" i="1"/>
  <c r="D520" i="1"/>
  <c r="D521" i="1"/>
  <c r="D522" i="1"/>
  <c r="D523" i="1"/>
  <c r="D524" i="1"/>
  <c r="D525" i="1"/>
  <c r="D526" i="1"/>
  <c r="D527" i="1"/>
  <c r="D528" i="1"/>
  <c r="D529" i="1"/>
  <c r="D530" i="1"/>
  <c r="D185" i="1"/>
  <c r="D132" i="1"/>
  <c r="D133" i="1"/>
  <c r="D347" i="1"/>
  <c r="D19" i="1"/>
  <c r="D285" i="1"/>
  <c r="D134" i="1"/>
  <c r="D146" i="1"/>
  <c r="D163" i="1"/>
  <c r="D100" i="1"/>
  <c r="D101" i="1"/>
  <c r="D102" i="1"/>
  <c r="D103" i="1"/>
  <c r="D104" i="1"/>
  <c r="D531" i="1"/>
  <c r="D395" i="1"/>
  <c r="D105" i="1"/>
  <c r="D106" i="1"/>
  <c r="D107" i="1"/>
  <c r="D108" i="1"/>
  <c r="D165" i="1"/>
  <c r="D109" i="1"/>
  <c r="D178" i="1"/>
  <c r="D110" i="1"/>
  <c r="D111" i="1"/>
  <c r="D567" i="1"/>
  <c r="D568" i="1"/>
  <c r="D385" i="1"/>
  <c r="D569" i="1"/>
  <c r="D570" i="1"/>
  <c r="D571" i="1"/>
  <c r="D396" i="1"/>
  <c r="D572" i="1"/>
  <c r="D348" i="1"/>
  <c r="D349" i="1"/>
  <c r="D532" i="1"/>
  <c r="D533" i="1"/>
  <c r="D534" i="1"/>
  <c r="D204" i="1"/>
  <c r="D535" i="1"/>
  <c r="D573" i="1"/>
  <c r="D270" i="1"/>
  <c r="D330" i="1"/>
  <c r="D536" i="1"/>
  <c r="D205" i="1"/>
  <c r="D537" i="1"/>
  <c r="D366" i="1"/>
  <c r="G137" i="1" l="1"/>
  <c r="G546" i="1"/>
  <c r="G14" i="1"/>
  <c r="D32" i="4"/>
  <c r="D38" i="4"/>
  <c r="D56" i="4"/>
  <c r="D28" i="4"/>
  <c r="D33" i="4"/>
  <c r="D29" i="4"/>
  <c r="D4" i="4"/>
  <c r="D36" i="4"/>
  <c r="D25" i="4"/>
  <c r="D26" i="4"/>
  <c r="D14" i="4"/>
  <c r="D7" i="4"/>
  <c r="F146" i="1"/>
  <c r="G146" i="1" s="1"/>
  <c r="F138" i="1"/>
  <c r="F139" i="1" l="1"/>
  <c r="G138" i="1"/>
  <c r="F140" i="1" l="1"/>
  <c r="G139" i="1"/>
  <c r="F141" i="1" l="1"/>
  <c r="G140" i="1"/>
  <c r="F142" i="1" l="1"/>
  <c r="G142" i="1" s="1"/>
  <c r="G1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7D2ED4-6E53-2943-9F7A-13E9D772FDAC}" name="descriptions" type="6" refreshedVersion="7" background="1" saveData="1">
    <textPr codePage="65001" sourceFile="/Users/michaelhaase/Downloads/descriptions.csv" decimal="," thousands="." comma="1">
      <textFields count="8">
        <textField/>
        <textField/>
        <textField/>
        <textField/>
        <textField/>
        <textField/>
        <textField/>
        <textField/>
      </textFields>
    </textPr>
  </connection>
  <connection id="2" xr16:uid="{1146EAFF-2FA9-7C41-9D14-A90FEA77E771}" name="recipe_notes" type="6" refreshedVersion="7" background="1" saveData="1">
    <textPr codePage="65001" sourceFile="/Users/michaelhaase/Downloads/recipe_notes.csv" decimal="," thousands="."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<sst xmlns="http://schemas.openxmlformats.org/spreadsheetml/2006/main" count="4303" uniqueCount="1742">
  <si>
    <t>dish_name</t>
  </si>
  <si>
    <t>dish_pk</t>
  </si>
  <si>
    <t>mltext_pk</t>
  </si>
  <si>
    <t>en</t>
  </si>
  <si>
    <t>da</t>
  </si>
  <si>
    <t>de</t>
  </si>
  <si>
    <t>lv</t>
  </si>
  <si>
    <t>et</t>
  </si>
  <si>
    <t>Andalusian Gazpacho</t>
  </si>
  <si>
    <t>For a more robust consistency, pulsate your ingredients only a few times so that they're chunky and set a portion aside. Liquefy the remaining portion and combine the 2 when chilling.</t>
  </si>
  <si>
    <t>For en mere robust konsistens - blend ingredienserne et par gange, og sæt halvdelen til side. Blend resten mere grundigt og kombinér de to.</t>
  </si>
  <si>
    <t>Wenn du mehr Stückchen in deiner Suppe willst, kannst du den Mixer mit der Mischung nur ein paar Mal pulsieren lassen. Nehme dann einen Teil davon heraus, püriere den Rest wie beschrieben, und mische die zwei Portionen.</t>
  </si>
  <si>
    <t>Artichoke Pizza</t>
  </si>
  <si>
    <t>Don't worry if you can't finish your pizza, it will be a perfect snack for lunch the next day!</t>
  </si>
  <si>
    <t>Kan du ikke spise pizzaen i aften? Spis den som frokost i morgen!</t>
  </si>
  <si>
    <t>Kannst du es heute Nacht nicht essen? Mittagessen morgen!</t>
  </si>
  <si>
    <t>Arugula Salad</t>
  </si>
  <si>
    <t>A delicious dressing is just as important as the tasty vegetables!</t>
  </si>
  <si>
    <t>Ein leckeres Dressing ist genauso wichtig wie das leckere Gemüse!</t>
  </si>
  <si>
    <t>Garšīga mērce ir tikpat svarīga, kā garšīgi dārzeņi.</t>
  </si>
  <si>
    <t>Hõrk kaste on sama oluline kui maitsvad köögiviljad!</t>
  </si>
  <si>
    <t>Asian Marinade</t>
  </si>
  <si>
    <t>The longer you let your ingredients marinate, the deeper their flavor will be.</t>
  </si>
  <si>
    <t>Jo længere du lader dine ingredienser marinere, jo dybere vil deres smag være.</t>
  </si>
  <si>
    <t>Je länger du deine Zutaten marinieren lässt, desto intensiver wird ihr Geschmack.</t>
  </si>
  <si>
    <t>Asian Salad</t>
  </si>
  <si>
    <t>Asparagus Pasta</t>
  </si>
  <si>
    <t>Stir the pasta immediately after adding it to the boiling water. Stand guard and stir the pot at least two or three times during cooking to avoid pasta sticking together.</t>
  </si>
  <si>
    <t>Put altid en smule af pasta-vandet ind i saucen/grøntsagerne. Det skaber en mere cremet konsistens</t>
  </si>
  <si>
    <t>Gib die Nudeln immer erst ins Wasser, wenn es sprudelnd kocht.</t>
  </si>
  <si>
    <t>Pēc nūdeļu ielikšanas verdošā ūdenī, tās uzreiz jāapmaisa. Lai tās nesaliptu kopā, gatavošanas laikā tās jāapmaisa vismaz 2-3 reizes.</t>
  </si>
  <si>
    <t>Sega pastat kohe, kui oled selle keevasse vette lisanud. Ole valvel ning sega pastat vähemalt kaks või kolm korda, et vältida pasta kokku kleepumist.</t>
  </si>
  <si>
    <t>Autumn Fruit Tart</t>
  </si>
  <si>
    <t>Avocado Banana Kiwi Smoothie</t>
  </si>
  <si>
    <t>All you need to do is wash your ingredients and toss them in the blender for a refreshing beverage!</t>
  </si>
  <si>
    <t>Alt du skal gøre er at vaske dine ingredienser og smide dem i blenderen og så har du en forfriskende drik!</t>
  </si>
  <si>
    <t>Einfach deine Zutaten waschen und in den Mixer werfen – und fertig ist der Smoothie!</t>
  </si>
  <si>
    <t>Avocado Citrus Cake</t>
  </si>
  <si>
    <t>Vegetables can indeed be used in cake!</t>
  </si>
  <si>
    <t>Grøntsager kan sagtens bruges i kage!</t>
  </si>
  <si>
    <t>Avocado Smash</t>
  </si>
  <si>
    <t>Baba Ganoush</t>
  </si>
  <si>
    <t>The longer you roast your eggplant, the deeper their flavor becomes. So bake yours accordingly.</t>
  </si>
  <si>
    <t>Jo længere du har aubergine i ovnen, desto mere smager de... vælg din bagetid baseret på din smag</t>
  </si>
  <si>
    <t>Je länger die Aubergine gebacken wird, desto intensiver wird der Geschmack!</t>
  </si>
  <si>
    <t>Baked Macaroni &amp; Cheese</t>
  </si>
  <si>
    <t>Baked Pasta</t>
  </si>
  <si>
    <t>The longer you leave the casserole uncovered, the crispier the top will become.</t>
  </si>
  <si>
    <t>Desto længere du lader casserole være afdækket, desto sprødere bliver toppen.</t>
  </si>
  <si>
    <t>Je länger du den Auflauf unbedeckt im Ofen lässt, desto knuspriger wird die Oberfläche.</t>
  </si>
  <si>
    <t>Balinesisk curry med Lupinfilé</t>
  </si>
  <si>
    <t>Banana Muffins with Agrain</t>
  </si>
  <si>
    <t>Banana Protein Bites</t>
  </si>
  <si>
    <t>Simply put all the ingredients into a food processor and you're ready to roll your own energy balls.</t>
  </si>
  <si>
    <t>Læg blot alle dine valgte ingredienserne i en madprocessor, og så er du klar til at rulle dine egne energikugler.</t>
  </si>
  <si>
    <t>Banana slices</t>
  </si>
  <si>
    <t>Banana Smoothie</t>
  </si>
  <si>
    <t>Barley Risotto</t>
  </si>
  <si>
    <t>The key to a perfect risotto is patience. Make sure to add small amounts of stock and wait until it is all absorbed before adding more.</t>
  </si>
  <si>
    <t>Nøglen til en perfekt risotto er tålmodighed. Tilføj små mængder bouillon og vent til det er absorberet før du tilføjer mere.</t>
  </si>
  <si>
    <t>Der Schlüssel zu einem perfekten Risotto ist Geduld. Füge Gemüsebrühe in kleinen Mengen hinzu und warte, bis alles absorbiert ist, bevor du mehr hinzugibst.</t>
  </si>
  <si>
    <t>Lai pagatavotu izcilu risotto, galvenais ir pacietība. Buljonu pielejiet pakāpeniski, pirms tam pārliecinoties, ka tas ir pilnībā iesūcies.</t>
  </si>
  <si>
    <t>Perfektse risoto võtmeks on kannatlikkus. Lisa korraga väike kogus puljongit ning oota, kuni see on imendunud, enne kui juurde lisad.</t>
  </si>
  <si>
    <t>Barreado</t>
  </si>
  <si>
    <t>Basque Style Fish Stew</t>
  </si>
  <si>
    <t>BBQ Marinade</t>
  </si>
  <si>
    <t>The longer you let your veggies sit in the marinade, the louder the barbecue sizzle will be... and of course a deeper flavor.</t>
  </si>
  <si>
    <t>Jo længere du lader dine grøntsager sidde i marinaden, jo højere er grillen sizzle vil være ... og selvfølgelig en dybere smag.</t>
  </si>
  <si>
    <t>Je länger du das Gemüse in der Marinade stehen lässt, desto lauter wird es auf dem Grill brutzeln... und natürlich erhält es ein kräftigeres Aroma.</t>
  </si>
  <si>
    <t>Bean Burgers</t>
  </si>
  <si>
    <t>The only limit to how much you can stack on your burger, is how wide you can open your mouth!</t>
  </si>
  <si>
    <t>Det eneste der begrænser dig i hvor meget du kan fylde i din burger, er hvor meget du kan åbne munden!</t>
  </si>
  <si>
    <t>Bean Meatless Balls</t>
  </si>
  <si>
    <t>Bean Spread</t>
  </si>
  <si>
    <t>Don't worry about the effort, your blender will do all the hard work!</t>
  </si>
  <si>
    <t>Vær ikke bange for hårdt arbejde, din blender gør det hele for dig!</t>
  </si>
  <si>
    <t>Mach dir keine Gedanken über den Aufwand - dein Mixer nimmt dir die ganze Arbeit ab!</t>
  </si>
  <si>
    <t>Beetroot Choco Cake</t>
  </si>
  <si>
    <t>Beetroot Dip</t>
  </si>
  <si>
    <t>Dips are the perfect appetizer, but can also be enjoyed as a dish on it's own if you serve it with veggie sticks, bread, or chips!</t>
  </si>
  <si>
    <t>Dips er den perfekte appetitvækker, men kan også nydes som en ret i sig selv, hvis du serverer det med grønsags pinde, brød eller chips!</t>
  </si>
  <si>
    <t>Dips sind die perfekte Vorspeise, können aber auch als Hauptgericht mit Rohkost, Brot oder Chips serviert werden!</t>
  </si>
  <si>
    <t>Beetroot Fries</t>
  </si>
  <si>
    <t>Let the oven do the work for you!</t>
  </si>
  <si>
    <t>Lad ovnen gøre alt arbejdet</t>
  </si>
  <si>
    <t>Lass' den Ofen für dich arbeiten!</t>
  </si>
  <si>
    <t>Beetroot Hummus</t>
  </si>
  <si>
    <t>For an extra smooth and creamy hummus, soak your chickpeas in baking powder to break down their tough skin.</t>
  </si>
  <si>
    <t>Vil du ha' en ekstra smooth hummus? Sæt kikærterne i blød med bagepulver - det nedbryder den ydre skal</t>
  </si>
  <si>
    <t>Für ein besonders cremiges Hummus, weiche deine Kichererbsen in Backpulver ein.</t>
  </si>
  <si>
    <t>Beetroot Patties</t>
  </si>
  <si>
    <t>Enjoy the patties in a bun or as a side to any salad. Delicious either way!</t>
  </si>
  <si>
    <t>Brug bøfferne i en bolle som burger eller med en salat ved siden af.</t>
  </si>
  <si>
    <t>Genieße die Patties in einem Brötchen oder als Beilage zu einem Salat. Beides ist sehr lecker!</t>
  </si>
  <si>
    <t>Beetroot Risotto</t>
  </si>
  <si>
    <t>Beet Tartare</t>
  </si>
  <si>
    <t>Bell Pepper Stir-Fry</t>
  </si>
  <si>
    <t>Cook on high heat to make your dish ready quicker!</t>
  </si>
  <si>
    <t>Kog panden på højeste volumen, så bliver retten færdig hurtigere.</t>
  </si>
  <si>
    <t>Arbeite mit sehr hoher Temperatur, damit dein Gericht schneller fertig ist!</t>
  </si>
  <si>
    <t>Lai ēdiena pagatavošana būtu ātrāka, gatavojiet augstākā temperatūrā.</t>
  </si>
  <si>
    <t>Kuumuta kõrgel kuumusel, et sinu roog kiiremini valmiks!</t>
  </si>
  <si>
    <t>Berry Almond Brownie</t>
  </si>
  <si>
    <t>Berry Almond Brownies</t>
  </si>
  <si>
    <t>Berry Jam</t>
  </si>
  <si>
    <t>Berry Jelly</t>
  </si>
  <si>
    <t>Berry Muffins</t>
  </si>
  <si>
    <t>Black Bean Brownies</t>
  </si>
  <si>
    <t>Black beans provide softness and body to these brownies - and don't worry, the chocolate taste hides the bean flavor.</t>
  </si>
  <si>
    <t>Sorte bønner giver brownien blødhed og struktur - og bare rolig, chokoladen skjuler bønensmag.</t>
  </si>
  <si>
    <t>Black Bean Dip</t>
  </si>
  <si>
    <t>Black Bean Patties</t>
  </si>
  <si>
    <t>Black Bean Stew</t>
  </si>
  <si>
    <t>Stews gain even more flavor when kept in the fridge overnight so don't worry if you can't finish it all.</t>
  </si>
  <si>
    <t>Gryderetten får mere smag, når den opbevares i køleskabet natten over, så bare rolig hvis du ikke kan færdiggøre det hele.</t>
  </si>
  <si>
    <t>Eintöpfe schmecken noch intensiver, wenn sie über Nacht im Kühlschrank aufbewahrt wurden. Also keine Sorge, wenn du nicht alles auf einmal essen kannst!</t>
  </si>
  <si>
    <t>Sautējumi ir garšīgāki, ja tos pa nakti atstāj ledusskapī, tāpēc nesatraucieties, ja neapēdat to vienā dienā.</t>
  </si>
  <si>
    <t>Hautised saavad maitset veelgi juurde, kui neid üleöö külmkapis hoida, seega ära muretse, kui sa ei jõua kõike korraga ära süüa.</t>
  </si>
  <si>
    <t>Blueberry Smoothie</t>
  </si>
  <si>
    <t>Borscht</t>
  </si>
  <si>
    <t>Borscht is traditionally a sour soup, so make it as sour as you see fit.</t>
  </si>
  <si>
    <t>Borscht er traditionelt en sur suppe – lav den så sur som passer dig.</t>
  </si>
  <si>
    <t>Die Suppe ist traditionell eher säuerlich, aber du kannst selbst entscheiden, wie sauer du sie machst.</t>
  </si>
  <si>
    <t>Brazilian Black Bean Stew</t>
  </si>
  <si>
    <t>Brazilian Refried Beans</t>
  </si>
  <si>
    <t>Bread</t>
  </si>
  <si>
    <t>Spelt is an ancient grain which will impart a complex, slightly nutty flavor to your bread.</t>
  </si>
  <si>
    <t>Spelt er en gammel korn, som vil give en kompleks, lidt nøddeagtig smag til dit brød.</t>
  </si>
  <si>
    <t>Bread Buns</t>
  </si>
  <si>
    <t>Bread Pudding Dessert</t>
  </si>
  <si>
    <t>Experiment with different bread types for various flavors.</t>
  </si>
  <si>
    <t>Breakfast Buns</t>
  </si>
  <si>
    <t>Brioche</t>
  </si>
  <si>
    <t>This recipe is for you who want to up your baking game. We will guide you through the process, and the result - well, it is an airy, smooth, and light brioche loaf. Let's get started!</t>
  </si>
  <si>
    <t>Broccoli Edamame Stir-Fry</t>
  </si>
  <si>
    <t>Lai ēdiena pagatavošana būtu ātrāka, gatavojiet to uz lielākas uguns.</t>
  </si>
  <si>
    <t>Broccoli Pasta</t>
  </si>
  <si>
    <t>Pēc nūdeļu ielikšanas verdošā ūdenī tās uzreiz jāapmaisa. Lai tās nesaliptu kopā, gatavošanas laikā tās jāapmaisa vismaz 2-3 reizes.</t>
  </si>
  <si>
    <t>Broccoli Patties</t>
  </si>
  <si>
    <t>Broccoli Rice</t>
  </si>
  <si>
    <t>A quick and easy alternative to using rice, add your favorite spices and enjoy.</t>
  </si>
  <si>
    <t>Et hurtig og nem alternativ til brug af ris, tilføj dine ynglings krydreriger og nyd.</t>
  </si>
  <si>
    <t>Eine schnelle und einfache Alternative zu Reis. Füge deine Lieblingsgewürze hinzu und genieße.</t>
  </si>
  <si>
    <t>Broccoli Salad</t>
  </si>
  <si>
    <t>Brown butter cookies with sugar kelp</t>
  </si>
  <si>
    <t>The resting time for the batter is very important and cannot be skipped!</t>
  </si>
  <si>
    <t>Brownies</t>
  </si>
  <si>
    <t>The ultimate fudgy chocolate cake. You can underbake these a little for an extra gooey texture.</t>
  </si>
  <si>
    <t>Den ultimative chokoladekage. Du kan underbage den lidt for få en blødere og mere klistrende men lækker tekstur.</t>
  </si>
  <si>
    <t>Bruschetta</t>
  </si>
  <si>
    <t>Buchteln</t>
  </si>
  <si>
    <t>Bulgur Casserole</t>
  </si>
  <si>
    <t>Bundt Cake</t>
  </si>
  <si>
    <t>Burger Buns</t>
  </si>
  <si>
    <t>Burger Buns for test</t>
  </si>
  <si>
    <t>Burrito</t>
  </si>
  <si>
    <t>Don't shy away from adding too many spices and herbs, Mexican cuisine is always spiced!</t>
  </si>
  <si>
    <t>Giv den gas med ekstra friske ingredienser på toppen, som tomater, avocado, koriander</t>
  </si>
  <si>
    <t>Verwende ganz viele frische Zutaten wie Tomaten, Avocados und Koriander!</t>
  </si>
  <si>
    <t>Ära pelga kasutamast palju vürtse ja maitseaineid, Mehhiko köök on alati vürtsikas!</t>
  </si>
  <si>
    <t>Butternut Chive Muffins</t>
  </si>
  <si>
    <t>Soft and tender muffins can be made to fit for almost any occasion! Breakfast, snack, dessert, dinner...you name it!</t>
  </si>
  <si>
    <t>Butternut Squash Dip</t>
  </si>
  <si>
    <t>Butternut Squash Mash</t>
  </si>
  <si>
    <t>As simple as boiling your veggies to peak tenderness then mashing them!</t>
  </si>
  <si>
    <t>Simpelt: Kog grøntsagerne til de er bløde og mos dem! Den mere komplekse opskrift kommer forneden :-)</t>
  </si>
  <si>
    <t>Ganz einfach: Das Gemüse so weich kochen, wie es geht, dann zerstampfen!</t>
  </si>
  <si>
    <t>Butternut Squash Risotto</t>
  </si>
  <si>
    <t>Cabbage Stew</t>
  </si>
  <si>
    <t>Cabbage Wraps</t>
  </si>
  <si>
    <t>Don't shy away from adding too many spices and herbs, wraps are always spiced up!</t>
  </si>
  <si>
    <t>Spar ikke på krydderier og krydderurter!</t>
  </si>
  <si>
    <t>Sei nicht zurückhaltend mit Gewürzen und Kräutern. Wraps sind immer sehr würzig!</t>
  </si>
  <si>
    <t>Cake</t>
  </si>
  <si>
    <t>Add a little sweetness to your day with some cake.</t>
  </si>
  <si>
    <t>Gør din dag lidt sødere med et stykke kage.</t>
  </si>
  <si>
    <t>Caramelized Onion and Butternut Squash Tart</t>
  </si>
  <si>
    <t>As simple as cracking an egg, mixing in some milk, and pouring into your pie crust!</t>
  </si>
  <si>
    <t>Så simpelt som at slå æg ud, blande det med de restrende ingredienser og putte i form!</t>
  </si>
  <si>
    <t>So einfach geht's: Ei aufschlagen, etwas Milch einrühren und in den Mürbeteig gießen!</t>
  </si>
  <si>
    <t>Vienkārši sajauciet olu ar pienu un ielejiet masu kūkas veidnē.</t>
  </si>
  <si>
    <t>Sama lihtne, kui muna katki löömine, piima sisse segamine ja selle pirukatainasse valamine!</t>
  </si>
  <si>
    <t>Caramel Sauce</t>
  </si>
  <si>
    <t>Caribbean Pasta</t>
  </si>
  <si>
    <t>Carrot Cake</t>
  </si>
  <si>
    <t>Carrots provide moisture to this soft cake.</t>
  </si>
  <si>
    <t>Gulerødder giver fugt til denne bløde kage.</t>
  </si>
  <si>
    <t>Carrot Cake Energy Balls</t>
  </si>
  <si>
    <t>These delicious bites taste just like carrot cake!</t>
  </si>
  <si>
    <t>Disse lækre energikugler smager præcis ligesom gulerodskage!</t>
  </si>
  <si>
    <t>Carrot Dip</t>
  </si>
  <si>
    <t>Carrot Mash</t>
  </si>
  <si>
    <t>Casserole</t>
  </si>
  <si>
    <t>Mida kauem jätate enda vormiroa katmata, seda krõbedamaks muutub pealmine osa.</t>
  </si>
  <si>
    <t>Cauliflower Mash</t>
  </si>
  <si>
    <t>Cauliflower Pasta</t>
  </si>
  <si>
    <t>Cauliflower Rice</t>
  </si>
  <si>
    <t>Caviar Niçois</t>
  </si>
  <si>
    <t>Celeriac Moussaka</t>
  </si>
  <si>
    <t>Enjoy your moussaka, you may even like it more than lasagna!</t>
  </si>
  <si>
    <t>Nyd din moussaka, du vil måske lide den endnu mere end lasagne!</t>
  </si>
  <si>
    <t>Genieße deine Moussaka, vielleicht schmeckt sie dir sogar besser als Lasagne!</t>
  </si>
  <si>
    <t>Ceylon Chai Bundt Cake</t>
  </si>
  <si>
    <t>Teatime!</t>
  </si>
  <si>
    <t>Chana Masala</t>
  </si>
  <si>
    <t>Chickpeas provide the hearty base for this dish, but adding extra veggies is always a good idea.</t>
  </si>
  <si>
    <t>kikærterne er grundstene for denne ret, men det er altid en god ide at tilføje lidt flere grønsager.</t>
  </si>
  <si>
    <t>Kichererbsen bilden die herzhafte Basis dieses Gerichts, aber mehr Gemüse ist immer eine gute Idee.</t>
  </si>
  <si>
    <t>Chard Salad</t>
  </si>
  <si>
    <t>Char Siu Marinade</t>
  </si>
  <si>
    <t>Cheesecake</t>
  </si>
  <si>
    <t>Cheesecake - Dr. Oetker</t>
  </si>
  <si>
    <t>Cheesy Dip</t>
  </si>
  <si>
    <t>Cheesy Rosemary Buns</t>
  </si>
  <si>
    <t>Chia Porridge</t>
  </si>
  <si>
    <t>Chia seeds will thicken your porridge, so don't worry if it looks too runny at first.</t>
  </si>
  <si>
    <t>Chia frø samler vand og bliver tykkere... så bare rolig, hvis den virker for løbende i starten.</t>
  </si>
  <si>
    <t>Chia verdickt deinen Brei, mache dir also keine Sorgen, wenn er zu Beginn zu flüssig aussieht.</t>
  </si>
  <si>
    <t>Chia Pudding</t>
  </si>
  <si>
    <t>Chicken Pasta Salad</t>
  </si>
  <si>
    <t>En lækker dressing er lige så vigtig som de velsmagende grøntsager!</t>
  </si>
  <si>
    <t>Chickpea Buddha Bowl</t>
  </si>
  <si>
    <t>This is your chance to get artistic and arrange your ingredients in a beautiful masterpiece.</t>
  </si>
  <si>
    <t>Dette er din chance til at udfolde dine kreative evner og arrangere ingredienserne i et smukt mesterværk.</t>
  </si>
  <si>
    <t>Das ist deine Chance, künstlerisch zu werden. Richte deine Zutaten in einem tollen Kunstwerk an.</t>
  </si>
  <si>
    <t>Chickpea Patties</t>
  </si>
  <si>
    <t>Chickpea Stew</t>
  </si>
  <si>
    <t>Chili con carne</t>
  </si>
  <si>
    <t>Chili sin carne</t>
  </si>
  <si>
    <t>Chili can be enjoyed on its own or with your favorite grains on the side. And don't worry if you can't finish it all, chili tastes even better after spending the night in the fridge!</t>
  </si>
  <si>
    <t>Chili kan nydes alene eller med dine yndlings kerner på siden. Og bare rolig, hvis du ikke kan spise det hele, chili smager nemlig endnu bedre, når det har stået i køleskabet natten over!</t>
  </si>
  <si>
    <t>Chili kann alleine oder zusammen mit einer Beilage deines Lieblingsgetreides serviert werden. Und keine Sorge, falls du nicht alles aufisst, Chili schmeckt nach einer Nacht im Kühlschrank noch besser!</t>
  </si>
  <si>
    <t>Chinese Pasta</t>
  </si>
  <si>
    <t>Choco Berry Muffins</t>
  </si>
  <si>
    <t>Chocolate Brownie</t>
  </si>
  <si>
    <t>Chocolate Brownie with Agrain</t>
  </si>
  <si>
    <t>Chocolate Chip Banana Bread</t>
  </si>
  <si>
    <t>Banana bread with a chocolate twist.</t>
  </si>
  <si>
    <t>Bananbrød med et chokoladetwist.</t>
  </si>
  <si>
    <t>Chocolate Mousse</t>
  </si>
  <si>
    <t>Enjoy a rich and creamy chocolate mousse, aired to perfection!</t>
  </si>
  <si>
    <t>Chowder</t>
  </si>
  <si>
    <t>Chowder is a thick soup with chunky bits of vegetable - classic from North America.</t>
  </si>
  <si>
    <t>Chowder er en cremet suppe, med lidt bid fra grøntsagsstykker. En Nord Amerikansk klassiker.</t>
  </si>
  <si>
    <t>Chowder ist eine cremige Suppe mit einem kleinen Bissen aus Gemüsestücken. Ein nordamerikanischer Klassiker.</t>
  </si>
  <si>
    <t>Chow Mein</t>
  </si>
  <si>
    <t>The trick to the perfect Chow Mein is to cook the noodles until they are al dente and then rinse them with cold water to stop the cooking process.</t>
  </si>
  <si>
    <t>Tricket bag en perfekt Chow Mein er at koge nudlerne al dente, og så vaske dem i koldt vand, så kogeprocessen stopper brat</t>
  </si>
  <si>
    <t>Der Trick hinter dem perfekten Chow Mein ist, die Nudeln al dente zu kochen und sie dann mit kaltem Wasser abzuschrecken, um den Kochvorgang abrupt zu beenden.</t>
  </si>
  <si>
    <t>Christmas Roasted Veggies</t>
  </si>
  <si>
    <t>Chulitos Nachos</t>
  </si>
  <si>
    <t>Chulitos Tortilla Soup</t>
  </si>
  <si>
    <t>Chunky Soup</t>
  </si>
  <si>
    <t>Soups taste better after resting in the fridge, so don't worry about finishing it all today.</t>
  </si>
  <si>
    <t>Suppe smager bedre dagen derpå, efter en pause i køleren... så du behøver ikke spise op.</t>
  </si>
  <si>
    <t>Suppen schmecken noch besser, nachdem sie im Kühlschrank geruht haben. Mach' dir also keine Sorgen, wenn du sie heute nicht aufessen kannst.</t>
  </si>
  <si>
    <t>Zupas ir garšīgākas, ja tās uz laiku atstāj ledusskapī, tāpēc nesatraucieties, ja nevarat pagūt pagatavot zupu vienā dienā.</t>
  </si>
  <si>
    <t>Supid maitsevad paremini, kui need on saanud külmkapis seista, seega ei pea sa kõike täna ära sööma.</t>
  </si>
  <si>
    <t>Chutney</t>
  </si>
  <si>
    <t>Cinnamon Swirls</t>
  </si>
  <si>
    <t>These cinnamon buns will have your kitchen smelling like heaven!</t>
  </si>
  <si>
    <t>Disse kanelsnegle vil få dit køkken til at dufte himmelsk!</t>
  </si>
  <si>
    <t>Classic bundt cake</t>
  </si>
  <si>
    <t>Classic Cheesecake</t>
  </si>
  <si>
    <t>It's cheesecake time!</t>
  </si>
  <si>
    <t>Det er cheesecake tid!</t>
  </si>
  <si>
    <t>Classic Cookies</t>
  </si>
  <si>
    <t>A classic sweet treat.</t>
  </si>
  <si>
    <t>En klassisk sød godbit.</t>
  </si>
  <si>
    <t>Classic Jam</t>
  </si>
  <si>
    <t>Classic Lasagna</t>
  </si>
  <si>
    <t>If you're not planning on using grated cheese on top, add a bit of the sauce to the top layer to avoid burning the pasta.</t>
  </si>
  <si>
    <t>Hvis ikke du har tænkt dig at bruge revet ost på toppen, så kan du tilføje lidt sauce på toppen – så undgår du at det øverste pastalag brænder på.</t>
  </si>
  <si>
    <t>Wenn du keinen geriebenen Käse verwenden möchtest, verwende etwas Sauce als oberste Schicht, damit die Nudeln nicht anbrennen.</t>
  </si>
  <si>
    <t>Classic Quiche</t>
  </si>
  <si>
    <t>Classic sweet muffin</t>
  </si>
  <si>
    <t>Muffins are super versatile - add anything you'd like, and Plant Jammer will make sure you get the baking ratios right.</t>
  </si>
  <si>
    <t>Muffins er super alsidige - tilføj lige det du har lyst til, og så skal Plant Jammer nok sørge for, at du bager med den rigtig ingrediensforhold.</t>
  </si>
  <si>
    <t>Classic Wrap</t>
  </si>
  <si>
    <t>Cocoa Energy Bites</t>
  </si>
  <si>
    <t>Have your chocolate in a healthy way with these cocoa energy bites.</t>
  </si>
  <si>
    <t>Få din chokolade på en sund måde med disse kakao energi bider.</t>
  </si>
  <si>
    <t>Cocoa Muffins</t>
  </si>
  <si>
    <t>Is it really dessert if there's no chocolate...?</t>
  </si>
  <si>
    <t>Er det virkelig en dessert, hvis den ikke indeholder chokolade...?</t>
  </si>
  <si>
    <t>Ist es wirklich ein Dessert, wenn es keine Schokolade enthält ...?</t>
  </si>
  <si>
    <t>Coconut Muesli Bar</t>
  </si>
  <si>
    <t>Coconut gives these muesli bars a tropical twist.</t>
  </si>
  <si>
    <t>Kokos giver disse müslibarer en tropisk twist.</t>
  </si>
  <si>
    <t>Coconut Pecan Granola</t>
  </si>
  <si>
    <t>Mix your favorite seeds, dried fruits or other flavorings with oats, then bake them up for a deliciously crunchy breakfast option.</t>
  </si>
  <si>
    <t>Cold Summer Soup</t>
  </si>
  <si>
    <t>Congee</t>
  </si>
  <si>
    <t>Consommé with poached egg</t>
  </si>
  <si>
    <t>[COOP] Cauliflower Gratin</t>
  </si>
  <si>
    <t>In a quick muffin, the veggie water WILL make your muffins slightly moist --- but as long as you use the 'toothpick trick' below, your dough WILL be done :-)</t>
  </si>
  <si>
    <t>I en ’hurtig muffin’ vil vandet fra grøntsagerne gøre dine muffins fugtige – men så længe du bruger ’tandstikker tricket’ vil dejen være færdig :-)</t>
  </si>
  <si>
    <t>Das Gemüse wird diese schnellen Muffins etwas feucht machen. Aber solange du den Zahnstocher-Trick anwendest, wird dein Teig durch sein. :-)</t>
  </si>
  <si>
    <t>[COOP] Lentil Daal</t>
  </si>
  <si>
    <t>A Daal can be enjoyed on it's own, or with a side of your favorite grains.</t>
  </si>
  <si>
    <t>Daal kan nydes alene eller med grønt ved siden af.</t>
  </si>
  <si>
    <t>Ein Dal kann alleine oder mit einer Portion Getreide/Reis genossen werden.</t>
  </si>
  <si>
    <t>[COOP] lentil soup</t>
  </si>
  <si>
    <t>Cordovan Salmorejo</t>
  </si>
  <si>
    <t>Couscous Salad</t>
  </si>
  <si>
    <t>Covered apple pie</t>
  </si>
  <si>
    <t>Cranberry Almond Granola Bar</t>
  </si>
  <si>
    <t>Sweet and tart cranberries are a burst of flavor in these muesli bars.</t>
  </si>
  <si>
    <t>Søde og syrlige tranebær er en bombe af smag i disse müslibarer.</t>
  </si>
  <si>
    <t>Creamy Baileys Mascarpone Dip</t>
  </si>
  <si>
    <t>Dip your favorite cookies and fruits into this creamy deliciousness!</t>
  </si>
  <si>
    <t>Creamy Broccoli Soup</t>
  </si>
  <si>
    <t>Zupas garšo labāk, ja tās uz laiku atstāj ledusskapī, tāpēc nesatraucieties, ja nevarat apēst tās vienā dienā.</t>
  </si>
  <si>
    <t>Creamy Butternut Squash Soup</t>
  </si>
  <si>
    <t>Zupas garšo labāk, ja tās uz laiku atstāj ledusskapī, tāpēc nesatraucieties, ja nevarat pagatavot tās vienā dienā.</t>
  </si>
  <si>
    <t>Creamy Mushroom Pasta</t>
  </si>
  <si>
    <t>If your sauce still requires some thickening after adding pasta water, try mixing in a bit of flour or potato starch!</t>
  </si>
  <si>
    <t>Hvis du gerne vil have en tykkere sauce, kan du tilføje lidt mel.</t>
  </si>
  <si>
    <t>Wenn du eine dickere Sauce willst, dann kannst du etwas Mehl oder Kartoffelstärke hinzufügen!</t>
  </si>
  <si>
    <t>Ja pēc nūdeļu ūdens pievienošanas mērce vēl joprojām nav pietiekami bieza, piejauciet nedaudz miltus vai kartupeļu cieti.</t>
  </si>
  <si>
    <t>Kui sinu kaste vajab endiselt natuke paksenemist pärast pastavee lisamist, võid juurde panna natuke jahu või kartulitärklist!</t>
  </si>
  <si>
    <t>Creamy Mushroom Soup</t>
  </si>
  <si>
    <t>Creamy Pasta</t>
  </si>
  <si>
    <t>Ja pēc nūdeļu ūdens pievienošanas mērce nav pietiekami bieza, piejauciet nedaudz miltus vai kartupeļu cietes.</t>
  </si>
  <si>
    <t>Creamy Pea Soup</t>
  </si>
  <si>
    <t>Creamy Pepper Soup</t>
  </si>
  <si>
    <t>Nesatraucieties, ja nevarat pagatavot zupu vienā dienā.  Zupas garšo labāk, ja tās uz laiku atstāj ledusskapī.</t>
  </si>
  <si>
    <t>Creamy Pumpkin Soup</t>
  </si>
  <si>
    <t>Creamy Soup</t>
  </si>
  <si>
    <t>Creamy Vegan Pasta</t>
  </si>
  <si>
    <t>A splash of pasta water to the sauce can make all the difference!</t>
  </si>
  <si>
    <t>Ein Schuss des Kochwassers der Nudeln in der Soße kann das ganze Gericht verbessern.</t>
  </si>
  <si>
    <t>Crispbread mini pizzas</t>
  </si>
  <si>
    <t>notes</t>
  </si>
  <si>
    <t>Crispbread with beets tartare and kale</t>
  </si>
  <si>
    <t>Kale is my favorite topping but any other leaf greens will do.</t>
  </si>
  <si>
    <t>Crispbread with deep-fried celeriac</t>
  </si>
  <si>
    <t>My notes</t>
  </si>
  <si>
    <t>Crispbread with garlic and parmesan cheese</t>
  </si>
  <si>
    <t>Crispbread with guacamole, cherry tomatoes and chickpeas</t>
  </si>
  <si>
    <t>Crispbread with harissa and cucumber</t>
  </si>
  <si>
    <t>Crispbread with marinated carrots and capers</t>
  </si>
  <si>
    <t>My tips</t>
  </si>
  <si>
    <t>Crispbread with sliced potatoes and crispy onion</t>
  </si>
  <si>
    <t>Crispbread with spicy hummus and dill</t>
  </si>
  <si>
    <t>Crunchy Salad</t>
  </si>
  <si>
    <t>Curry</t>
  </si>
  <si>
    <t>If you feel like you've added too much spice, add more! Indian dishes always contain tons of spices.</t>
  </si>
  <si>
    <t>Hvis du følger, du har tilføjet for meget krydderi... så tilføj lidt mere! :-)</t>
  </si>
  <si>
    <t>Falls du denkst, du hast zu viel Gewürze in deinem Gericht... dann füge noch mehr hinzu - indische Gerichte enthalten ganz viele Gewürze! :-)</t>
  </si>
  <si>
    <t>Curry and Coconut Risotto</t>
  </si>
  <si>
    <t>Daal</t>
  </si>
  <si>
    <t>Danish Mash</t>
  </si>
  <si>
    <t>Dark Romance Infused Pancakes</t>
  </si>
  <si>
    <t>Dip</t>
  </si>
  <si>
    <t>Mērcītes var izmantot dažādām uzkodām, bet, pasniedzot tās ar dārzeņu stienīšiem, maizi vai čipsiem, tās ļaus pagatavot lielisku maltīti!</t>
  </si>
  <si>
    <t>Dipikastmed on ideaalseks eelroaks, kuid võid neid nautida ka eraldi toiduroana, kui serveerid neid köögiviljapulkade, saia või krõpsudega!</t>
  </si>
  <si>
    <t>Eggplant Moussaka</t>
  </si>
  <si>
    <t>Eggplant Pasta</t>
  </si>
  <si>
    <t>Eggplant Pizza</t>
  </si>
  <si>
    <t>Elderflower Jelly</t>
  </si>
  <si>
    <t>Elderflower Preserves</t>
  </si>
  <si>
    <t>Empa-Tea and Ginger-Aid</t>
  </si>
  <si>
    <t>Energy Balls</t>
  </si>
  <si>
    <t>Espresso Chocolate Cake</t>
  </si>
  <si>
    <t>Coffee and chocolate lovers, this one is for you.</t>
  </si>
  <si>
    <t>Kaffe og chokolade elskere, det her er for dig.</t>
  </si>
  <si>
    <t>Falafel</t>
  </si>
  <si>
    <t>For best results, use soaked dried chickpeas that aren't cooked instead of canned ones (they're cooked). This will ensure a lower water content making it easier to form your Falafel. But if you must use canned ones, add in 2 tbsp of flour to help with the consistency.</t>
  </si>
  <si>
    <t>For det bedste resultat, brug kikærter der er sat i blød men ikke kogte. Kikærter på dåse er kogte, så ikke ligeså gode. U-kogte kikærter har  lavere vandindhold og vil gøre der nemmere at forme din falafel. Hvis du bruger kikærter fra dåse, så tilføj 2 spsk mel for at forbedre konsistensen.</t>
  </si>
  <si>
    <t>Verwende getrocknete und dann eingeweichte  Kichererbsen, damit die Falafel-Masse besser zusammenhält. Falls du Kichererbsen aus der Dose benutzt, dann füge 2 TL Mehl hinzu.</t>
  </si>
  <si>
    <t>Family Pasta</t>
  </si>
  <si>
    <t>Farofa</t>
  </si>
  <si>
    <t>Filipino Pasta</t>
  </si>
  <si>
    <t>Fizzy rhubarb jam</t>
  </si>
  <si>
    <t>Forest Fruit Smoothie</t>
  </si>
  <si>
    <t>French onion soup</t>
  </si>
  <si>
    <t>Classic soup which is super easy and economical</t>
  </si>
  <si>
    <t>French Onion Soup</t>
  </si>
  <si>
    <t>French Pasta</t>
  </si>
  <si>
    <t>French Toast</t>
  </si>
  <si>
    <t>Fried Celeriac</t>
  </si>
  <si>
    <t>Fried Celeriac a la Fish Filet</t>
  </si>
  <si>
    <t>Fried Rice</t>
  </si>
  <si>
    <t>Fruit Compote</t>
  </si>
  <si>
    <t>Fruit &amp; Cream Cake</t>
  </si>
  <si>
    <t>Choose fruits that are in season for the best flavor experience.</t>
  </si>
  <si>
    <t>Vælg frugt i sæson for den bedste smagsoplevelse.</t>
  </si>
  <si>
    <t>Fruit Crumble</t>
  </si>
  <si>
    <t>This dessert puts your favorite fruit on center stage. Serve it with creme fraiche or ice cream for extra indulgence.</t>
  </si>
  <si>
    <t>Dine yndlings frugter spiller hovedrollen i denne dessert. Server den med creme fraiche eller is for at gøre den ekstra lækker.</t>
  </si>
  <si>
    <t>This dessert puts your favorite fruit on center stage.</t>
  </si>
  <si>
    <t>Fruit-Filled Pie Bars</t>
  </si>
  <si>
    <t>Fruit Preserve</t>
  </si>
  <si>
    <t>Fruity Jam</t>
  </si>
  <si>
    <t>Fruity Jelly</t>
  </si>
  <si>
    <t>Garlic Bread</t>
  </si>
  <si>
    <t>Gastromand Crazy Horse Salad</t>
  </si>
  <si>
    <t>Created by the culinary experts of Gastromand. Find more at www.gastromand.dk or on Instagram @gastromanddk</t>
  </si>
  <si>
    <t>Von den Küchenexperten von Gastromand kreiert. Entdecke mehr auf www.gastromand.dk oder auf Instagram @gastromanddk</t>
  </si>
  <si>
    <t>Gazpacho</t>
  </si>
  <si>
    <t>Gingerbread cookies</t>
  </si>
  <si>
    <t>Ginger, Chilli and Soy Marinade</t>
  </si>
  <si>
    <t>Gluten Free Bread</t>
  </si>
  <si>
    <t>If you follow a gluten-free diet - it does NOT mean you have to miss out on delicious bread!</t>
  </si>
  <si>
    <t>Gluten Free "Rye Bread"</t>
  </si>
  <si>
    <t>Gluten-Free Seed Crackers</t>
  </si>
  <si>
    <t>Savory crackers made from wholesome ingredients</t>
  </si>
  <si>
    <t>Lækkert knækbrød lavet af sunde ingredienser</t>
  </si>
  <si>
    <t>Gluten Free Wasa Mini Pizzas</t>
  </si>
  <si>
    <t>Gluten Free Wasa with Beans &amp; Corn Salsa</t>
  </si>
  <si>
    <t>Gnocchi</t>
  </si>
  <si>
    <t>Pair these tender homemade gnocchi with your favorite sauce and veggies.</t>
  </si>
  <si>
    <t>Par disse møre hjemmelavede gnocchi med din yndlingssauce og grøntsager.</t>
  </si>
  <si>
    <t>Kombiniere diese zarten hausgemachten Gnocchi mit deiner Lieblingssauce und Gemüse.</t>
  </si>
  <si>
    <t>Goulash</t>
  </si>
  <si>
    <t>Want to see what other Jammers have created, join the board https://pin.it/ne6uihcuxun76n</t>
  </si>
  <si>
    <t>Tilmeld dig vores board, og se hvad andre brugere har skabt https://pin.it/ne6uihcuxun76n</t>
  </si>
  <si>
    <t>Gourministeriet Quinoa Fritters</t>
  </si>
  <si>
    <t>Created by blogger Dianna of Gourministeriet. Find more at https://gourministeriet.dk or on Instagram @gourministeriet</t>
  </si>
  <si>
    <t>Lavet af bloggeren Dianna af Gourministeriet. Find mere på https://gourministeriet.dk eller på Instagram @gourministeriet</t>
  </si>
  <si>
    <t>Grain Salad</t>
  </si>
  <si>
    <t>Grains and plant proteins</t>
  </si>
  <si>
    <t>Make a stir-fry: Fast, easy, and filling.</t>
  </si>
  <si>
    <t>Lav en wok: Hurtig, nem og mættende</t>
  </si>
  <si>
    <t>Wie wär's mit einem Wok: Schnell, leicht und sättigend</t>
  </si>
  <si>
    <t>Grandma's Carinthian cake</t>
  </si>
  <si>
    <t>Granola Bar</t>
  </si>
  <si>
    <t>Add your favorite nuts, seeds, or dried fruits to a base of oats and you'll have the perfect portable snack.</t>
  </si>
  <si>
    <t>Greek Style Polenta</t>
  </si>
  <si>
    <t>Green Beans Stir-Fry</t>
  </si>
  <si>
    <t>Green Burgers</t>
  </si>
  <si>
    <t>GRIM Creamy Soup</t>
  </si>
  <si>
    <t>GRIM Roasted Vegetable Salad</t>
  </si>
  <si>
    <t>Add some citrus such as lemon juice to your water when boiling your grains to give them a fresher taste.</t>
  </si>
  <si>
    <t>Tilføj lidt syre til kogevandet, feks citron, det frisker smagen op</t>
  </si>
  <si>
    <t>Füge etwas Säure (zum Beispiel Zitronensaft) zu dem Kochwasser deines Getreides hinzu, um einen frischen Geschmack zu erhalten.</t>
  </si>
  <si>
    <t>GRIM Salad</t>
  </si>
  <si>
    <t>As simple as washing, slicing, and mixing!</t>
  </si>
  <si>
    <t>Så simpelt som at vaske, skære og mixe!</t>
  </si>
  <si>
    <t>Einfach nur waschen, schneiden und vermischen!</t>
  </si>
  <si>
    <t>GRIM Winter Stew</t>
  </si>
  <si>
    <t>Guacamole</t>
  </si>
  <si>
    <t>The hardest part is peeling the avocado, from there on it's all down hill.</t>
  </si>
  <si>
    <t>Det sværeste er at fjerne skrælle avocadoen - derfra bliver det kun lettere!</t>
  </si>
  <si>
    <t>Sobald du die Avocados entsteint und das Fruchtfleisch herausgelöffelt hast, ist es ein Kinderspiel.</t>
  </si>
  <si>
    <t>Healthy Muffin</t>
  </si>
  <si>
    <t>Homemade Hummus Sandwich</t>
  </si>
  <si>
    <t>Homemade Pasta</t>
  </si>
  <si>
    <t>Homemade Pizza Dough</t>
  </si>
  <si>
    <t>It's important to knead your dough into a smooth consistency to make sure all the flour proteins create bonds.</t>
  </si>
  <si>
    <t>Det er vigtigt at ælte din dej til den får en jævn konsistens for at sikre, at alle mel proteiner skaber bindinger.</t>
  </si>
  <si>
    <t>Homemade Tortilla Chips</t>
  </si>
  <si>
    <t>Create your very own tortilla chips tailored to your taste!</t>
  </si>
  <si>
    <t>Hot Chili Dip</t>
  </si>
  <si>
    <t>Hummus</t>
  </si>
  <si>
    <t>Indian Pasta</t>
  </si>
  <si>
    <t>Indian Sauce</t>
  </si>
  <si>
    <t>Don't shy away from adding too many spices and herbs, Indian cuisine is always spiced!</t>
  </si>
  <si>
    <t>Ikke genert væk fra at tilføje for mange krydderier og urter, Indisk mad er altid krydret!</t>
  </si>
  <si>
    <t>Scheue dich nicht davor, zu viele Gewürze und Kräuter hinzuzufügen. Die indische Küche ist immer sehr würzig!</t>
  </si>
  <si>
    <t>Irish Pasta</t>
  </si>
  <si>
    <t>Italian Pasta</t>
  </si>
  <si>
    <t>Jalapeño Corn Muffins</t>
  </si>
  <si>
    <t>In a quick muffin, the veggies will help make your muffins moist.</t>
  </si>
  <si>
    <t>I en ’hurtig muffin’ vil vandet fra grøntsagerne gøre dine muffins fugtige.</t>
  </si>
  <si>
    <t>Japanese Omelette</t>
  </si>
  <si>
    <t>If you can crack an egg, then you can make an omelette!</t>
  </si>
  <si>
    <t>Hvis du slår et æg ud kan du lave en omelet!</t>
  </si>
  <si>
    <t>Wenn du ein Ei aufschlagen kannst, dann kannst du auch ein Omelette machen!</t>
  </si>
  <si>
    <t>Japanese Pasta</t>
  </si>
  <si>
    <t>Japanese Sauce</t>
  </si>
  <si>
    <t>You can give anything you are eating a Japanese twist with this delicious sauce.</t>
  </si>
  <si>
    <t>Du kan give noget, du spiser et japansk twist med denne lækre sovs.</t>
  </si>
  <si>
    <t>Mit dieser leckeren Soße kannst du alles, was du isst, mit einem japanischen Touch verfeinern.</t>
  </si>
  <si>
    <t>Kale Chips</t>
  </si>
  <si>
    <t>Drizzle some oil and seasoning on the leaves and you're set!</t>
  </si>
  <si>
    <t>Etwas Öl und Gewürze auf den Blättern verteilen und fertig!</t>
  </si>
  <si>
    <t>Kale Salad</t>
  </si>
  <si>
    <t>Kale Stew</t>
  </si>
  <si>
    <t>Key Lime Pie</t>
  </si>
  <si>
    <t>Kidney Bean Lettuce Wraps</t>
  </si>
  <si>
    <t>Kimchi Sandwich</t>
  </si>
  <si>
    <t>Korean Kimchi Stew</t>
  </si>
  <si>
    <t>Korean Pasta</t>
  </si>
  <si>
    <t>Korean Style Pizza</t>
  </si>
  <si>
    <t>-</t>
  </si>
  <si>
    <t>Lasagna</t>
  </si>
  <si>
    <t>Ja nūdelēm nepievienosiet rīvētu sieru, virspusē uzlieciet nedaudz mērces, lai nūdeles nepiedegtu.</t>
  </si>
  <si>
    <t>Kui sa ei plaani kasutada riivjuustu peale panekuks, lisa pealmisele kihile natuke kastet, et vältida pasta kõrbemist.</t>
  </si>
  <si>
    <t>La Vitalita Healthy Orange Biscuits</t>
  </si>
  <si>
    <t>Created by blogger Loli Alliati of La Vitalita. Find more at https://www.lavitalita.com.ar</t>
  </si>
  <si>
    <t>Lavet af bloggeren Loli Alliati af La Vitalita. Find mere på https://www.lavitalita.com.ar</t>
  </si>
  <si>
    <t>Layered cream cake</t>
  </si>
  <si>
    <t>Legume Pasta</t>
  </si>
  <si>
    <t>Lemon Coconut Energy Balls</t>
  </si>
  <si>
    <t>These energy balls contain a bright burst of citrus flavor.</t>
  </si>
  <si>
    <t>Disse energikugler indeholder en frisk og kraftig citronsmag.</t>
  </si>
  <si>
    <t>Lemon Grass, Ginger and Jalapeño Marinade</t>
  </si>
  <si>
    <t>Lemongrass Noodle Soup</t>
  </si>
  <si>
    <t>Lemongrass gives a nice citrus flavor to your soup, but if you like a tangier experience add some more citrus.</t>
  </si>
  <si>
    <t>Citrongræs giver en dejlig citrus smag til din suppe, men hvis du kan lide en tangere oplevelse tilføje nogle mere citrus.</t>
  </si>
  <si>
    <t>Lemon Iced Tea</t>
  </si>
  <si>
    <t>Lemon poppy seed cake</t>
  </si>
  <si>
    <t>Lentil Burrito</t>
  </si>
  <si>
    <t>Lentil Patties</t>
  </si>
  <si>
    <t>Lettuce Wraps</t>
  </si>
  <si>
    <t>Life by Nan Vegetarian Indian Korma</t>
  </si>
  <si>
    <t>Created by blogger Nadia of Life by Nan. Find more at www.lifebynan.dk or on Instagram @lifebynan</t>
  </si>
  <si>
    <t>Lavet af bloggeren Nadia af Life by Nan. Find mere på www.lifebynan.dk eller på Instagram @lifebynan</t>
  </si>
  <si>
    <t>Von Bloggerin Nadia von Life by Nan kreiert. Entdecke mehr auf www.lifebynan.dk oder auf Instagram @lifebynan</t>
  </si>
  <si>
    <t>Loaded Potato</t>
  </si>
  <si>
    <t>Low FODMAP Berry Protein Fluff</t>
  </si>
  <si>
    <t>Low FODMAP Parsnip Soup with Thyme &amp; Bacon</t>
  </si>
  <si>
    <t>Low FODMAP Zucchini, Eggplant and Tomato Tian</t>
  </si>
  <si>
    <t>Lupinfiléburgare med garlic-chili Lupinfiléfries</t>
  </si>
  <si>
    <t>Lupinpytt</t>
  </si>
  <si>
    <t>Could not find pickled beets to this dish. it is quit essential so would be good if you could add it. It is suppose to me where normal beets are right now.</t>
  </si>
  <si>
    <t>Mango Smoothie</t>
  </si>
  <si>
    <t>Margherita Pizza Snack</t>
  </si>
  <si>
    <t>Marinated Carrot Slices with Cashew Cream</t>
  </si>
  <si>
    <t>Mash</t>
  </si>
  <si>
    <t>Sama lihtne, kui köögiviljade pehmeks keetmine ning seejärel nende püreestamine!</t>
  </si>
  <si>
    <t>Mashed Parsnips</t>
  </si>
  <si>
    <t>Mashed Potatoes</t>
  </si>
  <si>
    <t>Meatballs with Mash</t>
  </si>
  <si>
    <t>Mediterranean Omelette</t>
  </si>
  <si>
    <t>As easy as cracking an egg and loading your favorite ingredients on top!</t>
  </si>
  <si>
    <t>Så nemt som at slå et æg ud og tilføje dine ingredienser ovenpå!</t>
  </si>
  <si>
    <t>Du musst nur die Eier in einer Schüssel aufschlagen und deine Lieblingszutaten dazugeben - so einfach geht's!</t>
  </si>
  <si>
    <t>Mediterranean Savory Muffin</t>
  </si>
  <si>
    <t>Mexican Pasta</t>
  </si>
  <si>
    <t>Mexican Pizza</t>
  </si>
  <si>
    <t>Mexican Risotto</t>
  </si>
  <si>
    <t>Mexican Salad</t>
  </si>
  <si>
    <t>Garšīga mērce ir tikpat svarīga kā garšīgi dārzeņi!</t>
  </si>
  <si>
    <t>Michael's Umami Buddha Bowl</t>
  </si>
  <si>
    <t>Bon appetit! Plant Jammer's CEO, Michael, loves to roast his veggies to maximizing flavor. You can find more recipes, or read about Plant Jammer on https://www.plantjammer.com/team</t>
  </si>
  <si>
    <t>Middle Eastern Pasta</t>
  </si>
  <si>
    <t>Miso Marinade</t>
  </si>
  <si>
    <t>Miso Soup</t>
  </si>
  <si>
    <t>Miso is responsible for the deep umami flavor of this soup, don't shy away from adding more.</t>
  </si>
  <si>
    <t>Miso er det, som giver den dybe umamismag til suppen, så ikke vær bange for at tilføje mere!</t>
  </si>
  <si>
    <t>Miso ist verantwortlich für das intensive Umami-Aroma dieser Suppe. Gib ruhig nach deinem Geschmack mehr dazu!</t>
  </si>
  <si>
    <t>Moroccan Pilaf</t>
  </si>
  <si>
    <t>Moussaka</t>
  </si>
  <si>
    <t>Naudi enda moussakat, sulle võib see isegi lasanjest rohkem meeldida!</t>
  </si>
  <si>
    <t>Muffins</t>
  </si>
  <si>
    <t>Multigrain Garlic Wasa</t>
  </si>
  <si>
    <t>Multigrain Wasa Parmesan Herb</t>
  </si>
  <si>
    <t>Mushroom &amp; Cabbage Miso Stir-Fry</t>
  </si>
  <si>
    <t>Created by blogger Claudia of Creative in My Kitchen. Find more at https://creativeinmykitchen.com/</t>
  </si>
  <si>
    <t>Lavet af bloggeren Claudia af Creative in My Kitchen. Find mere på https://creativeinmykitchen.com/</t>
  </si>
  <si>
    <t>Von der Bloggerin Claudia von Creative in My Kitchen kreiert. Entdecke mehr auf https://creativeinmykitchen.com/</t>
  </si>
  <si>
    <t>Mushroom Meatless Balls</t>
  </si>
  <si>
    <t>Mushroom Pizza</t>
  </si>
  <si>
    <t>Mushroom Risotto</t>
  </si>
  <si>
    <t>Mushroom Stew</t>
  </si>
  <si>
    <t>Mushroom Stir-Fry</t>
  </si>
  <si>
    <t>Mushroom Stroganoff</t>
  </si>
  <si>
    <t>Mushroom Toast</t>
  </si>
  <si>
    <t>Naan bread</t>
  </si>
  <si>
    <t>Nachos</t>
  </si>
  <si>
    <t>New York Cheesecake</t>
  </si>
  <si>
    <t>No-bake Cheesecake</t>
  </si>
  <si>
    <t>No Processed Sugar Muffins</t>
  </si>
  <si>
    <t>Nordic Salad</t>
  </si>
  <si>
    <t>Combine your roasted veggies with some fresh ones to get a contrasting flavor.</t>
  </si>
  <si>
    <t>Kombiner dine stegte grøntsager med nogle friske dem for at få en kontrasterende smag.</t>
  </si>
  <si>
    <t>Kombiniere das geröstete Gemüse mit frischem, um einen kontrastreichen Geschmack zu erhalten.</t>
  </si>
  <si>
    <t>Norwegian Pasta</t>
  </si>
  <si>
    <t>Nut Butter Cookies</t>
  </si>
  <si>
    <t>Nutty Chocolate Muffins</t>
  </si>
  <si>
    <t>If you have your Batter Base on hand, skip straight to 🌀Twist It.</t>
  </si>
  <si>
    <t>Hvis du allerede har forberedt din Flydende Dej, så spring direkte videre til 🌀Twist It.</t>
  </si>
  <si>
    <t>Oat Muffins</t>
  </si>
  <si>
    <t>Omelette</t>
  </si>
  <si>
    <t>Sama lihtne, kui muna katki löömine ja enda lemmik koostisosade peale panemine!</t>
  </si>
  <si>
    <t>One-Pan Carrot and Quinoa Medley</t>
  </si>
  <si>
    <t>Open-faced Sandwich with Potato</t>
  </si>
  <si>
    <t>Delicious!</t>
  </si>
  <si>
    <t>Lækkert!</t>
  </si>
  <si>
    <t>Orzotto</t>
  </si>
  <si>
    <t>The key to a perfect orzotto is patience. Make sure to add small amounts of stock and wait until it is all absorbed before adding more.</t>
  </si>
  <si>
    <t>Nøglen til en perfekt bygotto er tålmodighed. Tilføj bouillon lidt af gangen, indtil det hele er absorberet, før du tilsætter mere.</t>
  </si>
  <si>
    <t>Der Schlüssel zu einem perfekten Orzotto ist Geduld. Gebe immer nur kleine Mengen Brühe hinzu, und warte, bis alles aufgesaugt wurde, bevor du mehr hinzugibst.</t>
  </si>
  <si>
    <t>Oven Roasted Vegetables</t>
  </si>
  <si>
    <t>This rather heavy dish goes perfect with a heavy red wine and a light Mediterranean salad</t>
  </si>
  <si>
    <t>Denne tunge ret går perfekt med en tung rødvin og en let middelhavs-salat</t>
  </si>
  <si>
    <t>Dieses herzhafte Gericht passt perfekt zu einem schweren Rotwein und einem leichten, mediterranen Salat.</t>
  </si>
  <si>
    <t>See pigem rikkalik roog sobib hästi punase veini ning kerge Vahemere salatiga</t>
  </si>
  <si>
    <t>Overnight Oats</t>
  </si>
  <si>
    <t>Let the fridge do all the work for you. Wake up to a delicious, chilled breakfast!</t>
  </si>
  <si>
    <t>Lad køleskabet gøre alt arbejdet for dig. Vågn op til en lækker, kold morgenmad.</t>
  </si>
  <si>
    <t>Dein Kühlschrank macht die Arbeit - wache auf zu einem fertigen Powerfrühstück!</t>
  </si>
  <si>
    <t>Overnight Oats with Hemp</t>
  </si>
  <si>
    <t>Pad Thai</t>
  </si>
  <si>
    <t>Pancakes</t>
  </si>
  <si>
    <t>Panfried Lupintempeh topped with spicy Avocado Mash</t>
  </si>
  <si>
    <t>Pan Fry</t>
  </si>
  <si>
    <t>Our algorithm has determined the ratios and optimized cooking methods and time.</t>
  </si>
  <si>
    <t>Panzanella</t>
  </si>
  <si>
    <t>Parsnip Fries</t>
  </si>
  <si>
    <t>Parsnip Mash</t>
  </si>
  <si>
    <t>Pasta</t>
  </si>
  <si>
    <t>Pasta in tomato sauce with ham and chorizo</t>
  </si>
  <si>
    <t>Pasta Salad</t>
  </si>
  <si>
    <t>Pasta with Salmon and Spinach</t>
  </si>
  <si>
    <t>Peach Smoothie</t>
  </si>
  <si>
    <t>Peanut Butter Bars</t>
  </si>
  <si>
    <t>Pearl Barley Salad</t>
  </si>
  <si>
    <t>Pesto Garlic Swirls</t>
  </si>
  <si>
    <t>Get creative with sauce, topping, and cheese choices!</t>
  </si>
  <si>
    <t>Vær kreativ med dit valg af sovs, toppings og ost!</t>
  </si>
  <si>
    <t>Pickling</t>
  </si>
  <si>
    <t>Your vegetables will already gain a sour flavor within 30 minutes, but they gain more flavor the longer you keep them. Consume within 2 weeks.</t>
  </si>
  <si>
    <t>Pineapple Mango Smoothie</t>
  </si>
  <si>
    <t>Pisto Manchego</t>
  </si>
  <si>
    <t>Pizza</t>
  </si>
  <si>
    <t>Nesatraucieties, ja neapēdat visu picu uzreiz. Tā būs lieliska uzkoda nākamajā dienā.</t>
  </si>
  <si>
    <t>Ära muretse, kui sa ei jõua kõike pitsat korraga ära süüa, see on ideaalseks homseks lõunasnäkiks!</t>
  </si>
  <si>
    <t>Pizza Bianca</t>
  </si>
  <si>
    <t>For a vegan version, you can use parsnip or cauliflower purée as your white base.</t>
  </si>
  <si>
    <t>For en vegansk version, kan du bruge pastinak eller blomkåls purée som base i din hvide sauce.</t>
  </si>
  <si>
    <t>Für eine vegane Version kannst du Blumenkohl- oder Pastinakenpüree als die weiße Basis verwenden.</t>
  </si>
  <si>
    <t>Poached Fish with Seared Leeks</t>
  </si>
  <si>
    <t>Porridge</t>
  </si>
  <si>
    <t>Use finely rolled oats for a faster and easier option.</t>
  </si>
  <si>
    <t>Hvis du kan fylde en gryde og tænde blusset, så er du rette person til denne ret!</t>
  </si>
  <si>
    <t>Verwende zarte Haferflocken, damit dein Haferbrei noch schneller fertig ist.</t>
  </si>
  <si>
    <t>Kiiremaks ja lihtsamaks variandiks võid kasutada kiirkaerahelbeid.</t>
  </si>
  <si>
    <t>Portobello Stew</t>
  </si>
  <si>
    <t>Potato and Spinach Dumplings from Sardinia</t>
  </si>
  <si>
    <t xml:space="preserve">The filling needs to be quite compact and have a nice taste to your liking, feel free to add spices and herbs. </t>
  </si>
  <si>
    <t>Potato Curry</t>
  </si>
  <si>
    <t>Potato Leek Cream Soup</t>
  </si>
  <si>
    <t>Potato Moussaka</t>
  </si>
  <si>
    <t>Potato Pizza Bianca</t>
  </si>
  <si>
    <t>Potato Smørrebrød with Goudacream</t>
  </si>
  <si>
    <t>Potato Stew</t>
  </si>
  <si>
    <t xml:space="preserve">Potato Vegetable Fritters 2 </t>
  </si>
  <si>
    <t>test</t>
  </si>
  <si>
    <t>Pulled chicken with seaweed pesto</t>
  </si>
  <si>
    <t>Pulled Mushrooms in Bao Bun</t>
  </si>
  <si>
    <t>Pulled Portobello Mushrooms</t>
  </si>
  <si>
    <t>Recipe created by vegan food blogger Albert Stengaard of albertestengaard.dk. Find more inspiration on Instagram @albertestengaard</t>
  </si>
  <si>
    <t>Pumpkin Dip</t>
  </si>
  <si>
    <t>Pumpkin Nut Cake</t>
  </si>
  <si>
    <t>Pumpkin Pasta</t>
  </si>
  <si>
    <t>Pumpkin Stew</t>
  </si>
  <si>
    <t>Quesadilla</t>
  </si>
  <si>
    <t>Quiche</t>
  </si>
  <si>
    <t>Quickest Tea Cocktail</t>
  </si>
  <si>
    <t>Quick Rösti Patties</t>
  </si>
  <si>
    <t>Quick Soda Bread</t>
  </si>
  <si>
    <t>Quick breads are an easy way to start baking your own bread - no kneading or leavening required.</t>
  </si>
  <si>
    <t>Quinoa Buddha Bowl by Body.Soul.Whole</t>
  </si>
  <si>
    <t>Created by blogger Janine Oliver of Body.Soul.Whole. Find more at https://www.janineoliver.com/</t>
  </si>
  <si>
    <t>Lavet af bloggeren Janine Oliver af Body.Soul.Whole. Find mere på https://www.janineoliver.com/</t>
  </si>
  <si>
    <t>Von der Bloggerin Janine Oliver von Body.Soul.Whole kreiert. Mehr entdecken auf https://www.janineoliver.com/</t>
  </si>
  <si>
    <t>Quinoa Salad with Sweet Potato</t>
  </si>
  <si>
    <t>Ramen</t>
  </si>
  <si>
    <t>Ratatouille</t>
  </si>
  <si>
    <t>Ratatouille is a great stand alone dish, but it is also great served with rice or other grains.</t>
  </si>
  <si>
    <t>Ratatouille er fantastisk helt alene, men kan også serveres med mættende ris, couscous eller bygkorn</t>
  </si>
  <si>
    <t>Reis und andere Getreidesorten passen sehr gut zu Ratatouille, aber es kann auch gut alleine gegessen werden.</t>
  </si>
  <si>
    <t>Raw Buddha Bowl</t>
  </si>
  <si>
    <t>Red Cabbage Salad</t>
  </si>
  <si>
    <t>Red rhubarb jam</t>
  </si>
  <si>
    <t>Red Velvet Cake</t>
  </si>
  <si>
    <t>This classic cake is unbelievably moist, fluffy, flavorful, and perfectly red.</t>
  </si>
  <si>
    <t>Rhubarb and mango jam</t>
  </si>
  <si>
    <t>Rhubarb Cake</t>
  </si>
  <si>
    <t>Enhance this cake with frosting, fruits, whipped cream, nuts, chocolate... or anything else your sweet tooth craves!</t>
  </si>
  <si>
    <t>Du kan pynte med frosting, frugt, flødeskum, nødder, chokolade... eller hvad nu ellers din søde tand drømmer om!</t>
  </si>
  <si>
    <t>Rhubarb curd</t>
  </si>
  <si>
    <t>Rhubarb jelly with elderflower</t>
  </si>
  <si>
    <t>Rhubarb syrup</t>
  </si>
  <si>
    <t>Rice Casserole</t>
  </si>
  <si>
    <t>Rice Pilaf with Nuts and Dried Fruit</t>
  </si>
  <si>
    <t>Rice Pudding</t>
  </si>
  <si>
    <t>Use short grain white rice for the creamiest results.</t>
  </si>
  <si>
    <t>Risotto</t>
  </si>
  <si>
    <t>Risotto with Swiss Chard</t>
  </si>
  <si>
    <t>Substitute broccoli rabe with white Swiss chard, cut in pieces (1 cm).</t>
  </si>
  <si>
    <t>Roasted Buddha Bowl</t>
  </si>
  <si>
    <t>Roasted Root Vegetables</t>
  </si>
  <si>
    <t>If you want a very strong aromatic experience, you can salt-bake the root vegetables</t>
  </si>
  <si>
    <t>Hvis du vil have en meget aromatisk oplevelse, kan du også saltbage rodfrugterne</t>
  </si>
  <si>
    <t>Zart, saftig und voller Aroma! Du kannst das Wurzelgemüse auch in einer Salzkruste backen - für ein aromatisches Erlebnis.</t>
  </si>
  <si>
    <t>Roasted Veggie Dip</t>
  </si>
  <si>
    <t>Roasted Veggie Spread</t>
  </si>
  <si>
    <t>Root Vegetable Muffins</t>
  </si>
  <si>
    <t>Root Vegetable Quiche</t>
  </si>
  <si>
    <t>Rosemary Fig Crackers</t>
  </si>
  <si>
    <t>Rye Bread</t>
  </si>
  <si>
    <t>Rye bread is a Nordic classic - dense yet moist and soft, with a hearty and seedy taste. It's perfect for breakfast, lunch, or dinner!</t>
  </si>
  <si>
    <t>Rye Sesame Seed Crackers</t>
  </si>
  <si>
    <t>Salad</t>
  </si>
  <si>
    <t>Samosas</t>
  </si>
  <si>
    <t>Sauce</t>
  </si>
  <si>
    <t>Save some water when draining your pasta and add it to your sauce, it will help thicken it up.</t>
  </si>
  <si>
    <t>Spar lidt vand, når du dræner din pasta og tilføjer det til din sauce, det vil hjælpe med at tykke det op.</t>
  </si>
  <si>
    <t>Spare etwas Wasser, wenn du deine Nudeln abtropfen lässt, und gebe es in deine Sauce.</t>
  </si>
  <si>
    <t>Sausage and Mushroom Pasta Skillet</t>
  </si>
  <si>
    <t>Savory Bread Pudding</t>
  </si>
  <si>
    <t>Savory Crepes</t>
  </si>
  <si>
    <t>Savory Porridge</t>
  </si>
  <si>
    <t>Savory Tapioca Crepes</t>
  </si>
  <si>
    <t>Savory Tart</t>
  </si>
  <si>
    <t>Savory Toast</t>
  </si>
  <si>
    <t>Savory Zucchini Muffins</t>
  </si>
  <si>
    <t>Scones</t>
  </si>
  <si>
    <t>Scones can vary by region. These are crumbly and rich American-style scones.</t>
  </si>
  <si>
    <t>Scones kan variere fra sted til sted. Disse er de smuldrende og mættende amerikansk scones.</t>
  </si>
  <si>
    <t>Sesame Snaps</t>
  </si>
  <si>
    <t>The thinner you roll out the Sesame Snaps, the crunchier they get!</t>
  </si>
  <si>
    <t>Shakshouka</t>
  </si>
  <si>
    <t>Make small indentations in your stew as it's boiling and crack your egg into it, for a quicker poaching of the egg... add the lid onto your pot.</t>
  </si>
  <si>
    <t>Lav små indtryk i din gryderet, når det koger, og knæk dit æg ned i det, for at  pochere  æget hurtiger... Tilføj  låget til din gryde.</t>
  </si>
  <si>
    <t>Sharwood's Burrito</t>
  </si>
  <si>
    <t>Sharwood's Indian Lasagna</t>
  </si>
  <si>
    <t>Sharwood's Indian Stew</t>
  </si>
  <si>
    <t>Sautējumi ir garšīgāki, ja tos uz laiku atstāj ledusskapī, tāpēc nesatraucieties, ja nevarat pagūt pagatavot to vienā dienā.</t>
  </si>
  <si>
    <t>Sharwood's Pizza</t>
  </si>
  <si>
    <t>Sichuan Roasted Veggies</t>
  </si>
  <si>
    <t>Roasting your veggies gives them a deeper aromatic profile. Enjoy :)</t>
  </si>
  <si>
    <t>Sichuan Stir-Fry</t>
  </si>
  <si>
    <t>Sicilian Diavola Pizza</t>
  </si>
  <si>
    <t>Tip: If it gets too spicy, it helps to add something creamy, sweet, or acidic.</t>
  </si>
  <si>
    <t>Tip: Hvis retten er for spicy - hjælper det at tilføje noget cremet, sødt eller surt.</t>
  </si>
  <si>
    <t>Tipp: Falls es zu scharf wird, hilft es, etwas Öl oder mehr saure oder süße Zutaten zuzugeben.</t>
  </si>
  <si>
    <t>Simple Creamy Polenta</t>
  </si>
  <si>
    <t>Simple Paleo Cupcake</t>
  </si>
  <si>
    <t>It's best to use coconut cream from a carton rather than a tin. This diminishes the risk of contamination that you would get from coconut cream stored in aluminium tins.</t>
  </si>
  <si>
    <t>Simple patties</t>
  </si>
  <si>
    <t>Slaw</t>
  </si>
  <si>
    <t>Slaws only take about 5 minutes to prepare, but remember to give it time to sit as this tenderizes the salad and helps the flavors meld. We recommend a minimum of 1 hour, but overnight is even better.</t>
  </si>
  <si>
    <t>Slaws tager kun 5 minutter at forberede. Men husk at give den tid til at lave smagene 'lægge sig'. Vi anbefaler minimum 1 time.</t>
  </si>
  <si>
    <t>Einen 'Slaw' zubereiten dauert nur etwa 5 Minuten, aber denke daran, ihm Zeit zum Ziehen zu geben, da dies den Salat zart macht und die Aromen verschmelzen lässt. Wir empfehlen mindestens 1 Stunde, aber über Nacht ist noch besser.</t>
  </si>
  <si>
    <t>Smoothie</t>
  </si>
  <si>
    <t>Kõik, mida tegema pead, on vaid koostisosade pesemine ja mikserisse panemine, et valmistada endale värskendav jook!</t>
  </si>
  <si>
    <t>Snowball coconut bites</t>
  </si>
  <si>
    <t>sourdough bread</t>
  </si>
  <si>
    <t>Sourdough bread uses wild yeast for the leavening, resulting in a more complex flavor.</t>
  </si>
  <si>
    <t>Surdejsbrød bruger vild gær som hævemiddel, hvilket resulterer i en mere kompleks smag.</t>
  </si>
  <si>
    <t>Sourdough Rye Bread</t>
  </si>
  <si>
    <t>Spaghetti</t>
  </si>
  <si>
    <t>Spanish Mashed Potatoes</t>
  </si>
  <si>
    <t>Spanish Omelette</t>
  </si>
  <si>
    <t>If you can crack an egg and peel a potato, you're all set!</t>
  </si>
  <si>
    <t>Hvis du kan slå et æg ud og skrælle en kartoffel, så er du klar til denne ret!</t>
  </si>
  <si>
    <t>Wenn du ein Ei aufschlagen und eine Kartoffel schälen kannst, dann kann es direkt losgehen!</t>
  </si>
  <si>
    <t>Sparkling currant and rhubarb jelly</t>
  </si>
  <si>
    <t>Spice&amp;herb pairing</t>
  </si>
  <si>
    <t>Spicy Black Bean Quesadilla</t>
  </si>
  <si>
    <t>Spicy Dressing</t>
  </si>
  <si>
    <t>This dressing is the easiest thing you'll have to do to add a ton of flavor! Simply mix ingredients in a bowl and drizzle on top of your dish!</t>
  </si>
  <si>
    <t>Dieses Dressing ist das einfachste, was du tun kannst, um deinem Gericht jede Menge Geschmack hinzuzufügen. Vermische einfach alle Zutaten in einer Schüssel und träufle es über dein Gericht!</t>
  </si>
  <si>
    <t>Spicy Hummus Sandwich</t>
  </si>
  <si>
    <t>Spicy Sauce</t>
  </si>
  <si>
    <t>The longer you let the sauce simmer, the deeper the flavor will get.</t>
  </si>
  <si>
    <t>Jo længere du lader sovsen simre, desto dybere  smagen får den.</t>
  </si>
  <si>
    <t>Je länger du die Soße köcheln lässt, desto intensiver wird der Geschmack.</t>
  </si>
  <si>
    <t>Spicy Sriracha Chickpeas</t>
  </si>
  <si>
    <t>Spicy Teriyaki Noodles</t>
  </si>
  <si>
    <t>The trick to the perfect dish is to cook the noodles until they are al dente and then rinse them with cold water to stop the cooking process.</t>
  </si>
  <si>
    <t>Tricket bag en perfekt ret er at koge nudlerne al dente, og så vaske dem i koldt vand, så kogeprocessen stopper brat.</t>
  </si>
  <si>
    <t>Der Trick hinter einem perfekten Gericht besteht darin, die Nudeln al dente zu kochen und sie dann in kaltem Wasser abzuschrecken, damit der Kochvorgang abrupt stoppt.</t>
  </si>
  <si>
    <t>Spinach Salad</t>
  </si>
  <si>
    <t>Stew</t>
  </si>
  <si>
    <t>Stir-Fried Bok Choy</t>
  </si>
  <si>
    <t>Stir-Fry</t>
  </si>
  <si>
    <t>Ja vēlaties, lai ēdiens būtu gatavs ātrāk, izmantojiet augstāku temperatūru.</t>
  </si>
  <si>
    <t>Strawberry and rhubarb jam</t>
  </si>
  <si>
    <t>Strawberry compote</t>
  </si>
  <si>
    <t>Strawberry Jam</t>
  </si>
  <si>
    <t>Strawberry Jelly</t>
  </si>
  <si>
    <t>Strawberry Traybake Cake</t>
  </si>
  <si>
    <t>Stuffed Baked Potato</t>
  </si>
  <si>
    <t>Stuffed Bell Pepper</t>
  </si>
  <si>
    <t>Stuffed Butternut Squash with Couscous</t>
  </si>
  <si>
    <t>Roast your stuffed vegetable "boat" until the base vegetable is tender!</t>
  </si>
  <si>
    <t>"Båden" skal i ovnen med dine yndlings ingredienser indeni</t>
  </si>
  <si>
    <t>Röste dein gefülltes Gemüse"boot", bis das Basisgemüse weich ist!</t>
  </si>
  <si>
    <t>Stuffed Hokkaido Pumpkin</t>
  </si>
  <si>
    <t>Stuffed Portobello Mushroom</t>
  </si>
  <si>
    <t>Stuffed Veggies</t>
  </si>
  <si>
    <t>Küpseta ahjus täidetud köögivilja 'paati' kuni baasköögivili on pehme!</t>
  </si>
  <si>
    <t>Summer Rolls</t>
  </si>
  <si>
    <t>Summer Salad</t>
  </si>
  <si>
    <t>Vienkārši nomazgājiet, sagrieziet un sajauciet!</t>
  </si>
  <si>
    <t>Sama lihtne, kui pesemine, viilutamine ja segamine!</t>
  </si>
  <si>
    <t>Super Fruity Jam</t>
  </si>
  <si>
    <t>Super Fruity Jelly</t>
  </si>
  <si>
    <t>Sweet Crepes</t>
  </si>
  <si>
    <t>Sweet Jam</t>
  </si>
  <si>
    <t>Sweet Jelly</t>
  </si>
  <si>
    <t>Sweet Potato Fries</t>
  </si>
  <si>
    <t>Packed full of antioxidants, sweet potatoes are the perfect snack.</t>
  </si>
  <si>
    <t>Sweet Potato Patties</t>
  </si>
  <si>
    <t>Sweet Potato Stew</t>
  </si>
  <si>
    <t>Sweet &amp; Sour Bok Choy</t>
  </si>
  <si>
    <t>Serve as an excellent snack or as a side dish for another meal.</t>
  </si>
  <si>
    <t>Serveres som en fremragende snack eller som en side ret til et andet måltid.</t>
  </si>
  <si>
    <t>Dieses Gericht kannst du super als Snack oder als Beilage für ein anderes Gericht servieren.</t>
  </si>
  <si>
    <t>Sweet &amp; Sour Eggplant</t>
  </si>
  <si>
    <t>Sweet Tapioca Crepes</t>
  </si>
  <si>
    <t>Sweet Toast</t>
  </si>
  <si>
    <t>Swiss Roll</t>
  </si>
  <si>
    <t>Swiss roll</t>
  </si>
  <si>
    <t>Tabbouleh</t>
  </si>
  <si>
    <t>Don't shy away from the parsley and mint! Some people use as much parsley and mint as they do bulgur or couscous.</t>
  </si>
  <si>
    <t>Ikke hold dig tilbage med persillen! Nogle bruger ligeså meget persille som bulgur og couscous.</t>
  </si>
  <si>
    <t>Verwende ganz viel Petersilie - manche Leute verwenden genauso viel Petersilie wie Bulgur oder Couscous.</t>
  </si>
  <si>
    <t>Nebaidieties izmantot pētersīļus un piparmētru! Ir cilvēki, kas šos produktus izmanto tikpat daudz, cik bulguru vai kuskusu.</t>
  </si>
  <si>
    <t>Ära pelga kasutamast peterselli ja piparmünti! Mõned inimesed kasutavad sama palju peterselli ja piparmünti, nagu nad teevad seda lisades bulgurit ja couscousi.</t>
  </si>
  <si>
    <t>Tacos</t>
  </si>
  <si>
    <t>Tagine</t>
  </si>
  <si>
    <t>For a more traditional Tagine, you can cook it in the oven in a ceramic Tagine dish!</t>
  </si>
  <si>
    <t>Für eine traditionelle Tajine kannst du das Gericht in dem traditionellen, spitz zulaufenden Tontopf zubereiten.</t>
  </si>
  <si>
    <t>Tea Smoked Salmon</t>
  </si>
  <si>
    <t>Thai Basil Eggplant Stir Fry</t>
  </si>
  <si>
    <t xml:space="preserve">Reduce spice level as necessary. </t>
  </si>
  <si>
    <t>Thai Curry</t>
  </si>
  <si>
    <t>The spiciness in a Thai Curry comes from the curry paste. Red curries are usually spicier than yellow curries but less spicy than green.</t>
  </si>
  <si>
    <t>Krydder-smagen i Thai karry kommer fra karry. Røde karryretter er mere spicy end gule, mens grønne karryretter tager prisen.</t>
  </si>
  <si>
    <t>Die Schärfe in einem Thai-Curry kommt von der Curry-Paste. Rote Currys sind normalerweise schärfer als gelbe Currys, aber weniger scharf als grüne.</t>
  </si>
  <si>
    <t>Taizemes karijs savu asumu iegūst no karija pastas. Sarkanais karijs parasti ir asāks, nekā dzeltenais karijs, bet mazāk ass, salīdzinot ar zaļo kariju.</t>
  </si>
  <si>
    <t>Tai Karri vürtsikus tuleneb karripastast. Punased karrid on tavaliselt vürtsikamad kui kollased karrid, kuid vähem vürtsikad kui rohelised.</t>
  </si>
  <si>
    <t>Thai Pasta</t>
  </si>
  <si>
    <t>Thai Soup</t>
  </si>
  <si>
    <t>It’s simple: Fry aromas, add stock and boil for 15 minutes, then add fresh veggies.</t>
  </si>
  <si>
    <t>Thai Stir-fry med Lupintempeh</t>
  </si>
  <si>
    <t>The Plantbased School Stuffed Peppers</t>
  </si>
  <si>
    <t>Created by The Plantbased School - an online kitchen for vegan recipes focused on whole foods and based on Italian cuisine. Find more at https://theplantbasedschool.com/</t>
  </si>
  <si>
    <t>Von The Plantbased School kreiert - eine digitale Küche für vegane Rezepte und Vollwertkost basierend auf der italienischen Küche. Entdecke mehr auf https://theplantbasedschool.com/</t>
  </si>
  <si>
    <t>Thermomix Black Bean Dip</t>
  </si>
  <si>
    <t>Don't worry about the effort, your Thermomix will do all the work taking the sweat away!</t>
  </si>
  <si>
    <t>Thermomix Butternut Squash Dip</t>
  </si>
  <si>
    <t>Thermomix Chunky Borscht</t>
  </si>
  <si>
    <t>Thermomix Smooth Broccoli Soup</t>
  </si>
  <si>
    <t>Thermomix Spicy Creamy Soup</t>
  </si>
  <si>
    <t>Thermomix Tortilla Soup</t>
  </si>
  <si>
    <t>Don't be afraid to load on the spices to give this soup an even heavier Mexican flavor!</t>
  </si>
  <si>
    <t>Giv den fuld gas med krydderierne - suppen kan godt tage et ordentligt mexikansk præg :-)</t>
  </si>
  <si>
    <t>Halte dich beim Würzen nicht zurück - verwende so viele Gewürze wie du willst, sodass du einen intensiven mexikanischen Geschmack bekommst!</t>
  </si>
  <si>
    <t>Thermomix Versatile Chunky Soup</t>
  </si>
  <si>
    <t>Thermomix Versatile Dip</t>
  </si>
  <si>
    <t>Thermomix Versatile Smooth Soup</t>
  </si>
  <si>
    <t>Tikka Masala</t>
  </si>
  <si>
    <t>Tiramisu</t>
  </si>
  <si>
    <t>It's a coffee cake, the Italian way.</t>
  </si>
  <si>
    <t>Det er en kaffekage, den italienske måde.</t>
  </si>
  <si>
    <t>Toast Bread</t>
  </si>
  <si>
    <t>Tofu Buddha Bowl</t>
  </si>
  <si>
    <t>Tofu Stir-Fry</t>
  </si>
  <si>
    <t>Tortilla Soup</t>
  </si>
  <si>
    <t>Tropical Oatmeal</t>
  </si>
  <si>
    <t>Umami Beast Patties</t>
  </si>
  <si>
    <t>Umami Bomb Sauce</t>
  </si>
  <si>
    <t>Vegan Apple Cake</t>
  </si>
  <si>
    <t>Apples give both moisture and a bit of tartness to this delicious dessert.</t>
  </si>
  <si>
    <t>Vegan Banana Bread</t>
  </si>
  <si>
    <t>Try this recipe if you are vegan, love vegan food, or are out of eggs.</t>
  </si>
  <si>
    <t>Prøv denne opskrift hvis du er veganer, elsker vegansk mad eller er løbet tør for æg.</t>
  </si>
  <si>
    <t>Vegan Cheesecake</t>
  </si>
  <si>
    <t>Vegan Chia Pudding</t>
  </si>
  <si>
    <t>Vegan Cookies</t>
  </si>
  <si>
    <t>Veganes Ofengemüse</t>
  </si>
  <si>
    <t>Enjoy</t>
  </si>
  <si>
    <t>Vegan Green Curry</t>
  </si>
  <si>
    <t>Vegan Muffin</t>
  </si>
  <si>
    <t>Vegan Muffins</t>
  </si>
  <si>
    <t>Vegan pesto swirls</t>
  </si>
  <si>
    <t>For a golden shiny surface, brush the swirls with beaten egg, milk of choice or water.</t>
  </si>
  <si>
    <t>Vegan Quick Soda Bread</t>
  </si>
  <si>
    <t>Vegan Smoothie</t>
  </si>
  <si>
    <t>Vegan Tiramisu</t>
  </si>
  <si>
    <t>Vegetable Hemp Fritters</t>
  </si>
  <si>
    <t>Vegetable Muffin</t>
  </si>
  <si>
    <t>Vegetable Pancake</t>
  </si>
  <si>
    <t>Vegetable Rice Alternative</t>
  </si>
  <si>
    <t>Vegetarian "Chicken" Quesadilla</t>
  </si>
  <si>
    <t>Vegetarian Chili</t>
  </si>
  <si>
    <t>Vegetarian Meatballs</t>
  </si>
  <si>
    <t>Veggie Pilaf</t>
  </si>
  <si>
    <t>Veggie Polenta</t>
  </si>
  <si>
    <t>Vietnamese Stir Fry</t>
  </si>
  <si>
    <t>Waffles</t>
  </si>
  <si>
    <t>Warm Buckwheat Salad</t>
  </si>
  <si>
    <t>Warm Bulgur Salad</t>
  </si>
  <si>
    <t>Warm Middle Eastern Salad</t>
  </si>
  <si>
    <t>Wasa 7 Grain with Cream Cheese &amp; Veggies</t>
  </si>
  <si>
    <t>Wasa Sourdough with Cottage Cheese &amp; Cucumber</t>
  </si>
  <si>
    <t>White Lasagna</t>
  </si>
  <si>
    <t>Zora Klipp's Sweet Potato Curry</t>
  </si>
  <si>
    <t>Created by Chef Zora Klipp – find more of her at https://zoraklipp.de/ or on Instagram @zorilipanski</t>
  </si>
  <si>
    <t>Erstellt von Köchin &amp; Bloggerin Zora Klipp – mehr auf https://zoraklipp.de/ oder auf Instagram @zorilipanski</t>
  </si>
  <si>
    <t>Zucchini and Feta Risotto</t>
  </si>
  <si>
    <t>Zucchini Moussaka</t>
  </si>
  <si>
    <t>Zucchini Pasta</t>
  </si>
  <si>
    <t>Zucchini Patties</t>
  </si>
  <si>
    <t>Zucchini Risotto</t>
  </si>
  <si>
    <t>Zucchini Stir-Fry</t>
  </si>
  <si>
    <t>Gazpacho is a traditional Spanish soup that is served cold. It's made on the base tomatoes, cucumbers, and olive oil -can use Thermomix</t>
  </si>
  <si>
    <t>Jam din egen version af denne traditionelle spanske suppe. Den er skabt på en base af tomater, agurk, og oliven olie - kan bruge Thermomix</t>
  </si>
  <si>
    <t>Gazpacho ist eine traditionelle spanische Suppe, die kalt serviert wird. Tomaten, Gurken und Olivenöl bilden ihre Basis - Können Thermomix verwenden</t>
  </si>
  <si>
    <t>Create your very own artichoke heart pizza and our AI will help you match the rest of the ingredients together.</t>
  </si>
  <si>
    <t>Kreiere deine ganz eigene Pizza mit Artischockenherzen und lass' dir von der KI passende Zutaten vorschlagen.</t>
  </si>
  <si>
    <t>Create a delicious marinade to give an Asian twist to your vegetables or tofu.</t>
  </si>
  <si>
    <t>Lav en lækker marinade for at give et asiatisk twist til dine grøntsager eller tofu.</t>
  </si>
  <si>
    <t>Stelle eine köstliche Marinade her, um deinem Gemüse oder Tofu eine asiatische Note zu verleihen.</t>
  </si>
  <si>
    <t>Create your very own pasta built upon asparagus and let our AI match the best ingredients for you.</t>
  </si>
  <si>
    <t>Skab din helt egen pasta bygget på asparges og lad vores AI matche de bedste ingredienser til dig.</t>
  </si>
  <si>
    <t>Kreiere dein eigenes Pastagericht mit Spargel und lass dir von der KI passende Zutaten vorschlagen.</t>
  </si>
  <si>
    <t>Pagatavojiet savu asparāgu nūdeļu maltīti un ļaujiet mūsu programmai sakombinēt pārējās sastāvdaļas.</t>
  </si>
  <si>
    <t>Valmista päris oma pastaroog kasutades sparglit ning las meie tehisintellekt valib sulle selle valmistamiseks parimad koostiosad.</t>
  </si>
  <si>
    <t>Yeast dough and buttery yeast puff pastry combined with the fruity gifts of autumn. Plums, plums and mirabelle plums, accompanied by pear, walnuts and cinnamon make this tart unforgettable.</t>
  </si>
  <si>
    <t>Hefeteig und buttriger Hefe-Blätterteig, kombiniert mit den fruchtigen Gaben des Herbstes. Zwetschgen, Pflaumen und Mirabellen, begleitet von Birnel, Baumnüssen und Zimt, machen diese Tarte unvergesslich.</t>
  </si>
  <si>
    <t>Create a delicious green smoothie using avocado, kiwi and bananas!</t>
  </si>
  <si>
    <t>Lav den lækker grøn smoothie ved at bruge avocado, kiwi og bananer!</t>
  </si>
  <si>
    <t>Kreiere einen leckeren grünen Smoothie mit Avocado, Kiwi und Bananen!</t>
  </si>
  <si>
    <t>Creamy avocado and bright citrus make for a light and delicious cake.</t>
  </si>
  <si>
    <t>Cremet avokado og citron giver en let og lækker kage.</t>
  </si>
  <si>
    <t>Baba Ganoush is a Middle Eastern spread based on roasted eggplant and tahini with various seasoning. It is a fantastic  appetizers or side dish!</t>
  </si>
  <si>
    <t>Skøn Libanesisk opfindelse. Baba ganoush er en aubergine-baseret dip. Genialt på ethvert tapas bord, eller som dressing i salaten.</t>
  </si>
  <si>
    <t>Der Dip aus butterweichen gebackenen Auberginenfleisch, Knoblauch und Sesampaste ist ein Mezze-Klassisker.</t>
  </si>
  <si>
    <t>Create your own pasta casserole with the help from our AI to match the rest of the ingredients. Basically a lasagna without the structure.</t>
  </si>
  <si>
    <t>Skab din egen pasta casserole med hjælp fra vores AI til at parre de resterende ingredienser. Det er nærmest ligesom lasagne bare uden strukturen.</t>
  </si>
  <si>
    <t>Kreiere deinen eigenen Nudelauflauf und lasse dir von der KI passende Zutaten vorschlagen. Im Grunde eine Lasagne ohne die Struktur.</t>
  </si>
  <si>
    <t>En tropisk höjdare med influenser från Bali. servera gärna med Jasminris eller dylikt.</t>
  </si>
  <si>
    <t>Energy balls are a tasty and healthy homemade snack. Keep them in your fridge for a quick bite.</t>
  </si>
  <si>
    <t>Energikuglerne er en lækker og sund hjemmelavet snack. Bevar dem i dit køleskab til når du er lidt lækkersulten.</t>
  </si>
  <si>
    <t>Create your very own banana smoothie and let our AI help match the rest of the ingredients.</t>
  </si>
  <si>
    <t>Skab din helt egen banan smoothie og lad vores AI hjælpe dig med at parre resten af ingredienserne.</t>
  </si>
  <si>
    <t>Kreiere deinen eigenen Bananen-Smoothie und lass dir von der KI die restlichen, passenden Zutaten vorschlagen.</t>
  </si>
  <si>
    <t>Typical Dish of Parana State, Brazil.</t>
  </si>
  <si>
    <t>Create a delicious savory marinade for your barbecued vegetables.</t>
  </si>
  <si>
    <t>Lav en lækker salte marinade til dine grillede grøntsager.</t>
  </si>
  <si>
    <t>Stelle eine köstliche, pikante Marinade für dein gegrilltes Gemüse her.</t>
  </si>
  <si>
    <t>We'll help you build a delicious burger from the patty to the toppings!</t>
  </si>
  <si>
    <t>Vi hjælper dig med at lave en lækker burger - alt fra de grønne bøffer til toppingen!</t>
  </si>
  <si>
    <t>Wir helfen dir dabei, einen leckeren Burger vom Patty bis zu den Toppings zu erstellen.</t>
  </si>
  <si>
    <t>Create a tasty spread out of your favorite beans to bring some flavor and base to your sandwich.</t>
  </si>
  <si>
    <t>Lav en lækker spread af dine yndlings bønner for at få smag i din sandwich.</t>
  </si>
  <si>
    <t>Kreiere einen leckeren Aufstrich aus deinen Lieblingsbohnen, um dein Sandwich würziger und sättigender zu machen.</t>
  </si>
  <si>
    <t>The earthy taste of beetroot goes perfectly with chocolate.</t>
  </si>
  <si>
    <t>Den jordiske smag af rødbeder passer perfekt med chokolade.</t>
  </si>
  <si>
    <t>Create your own beetroot dip and let our AI help you match the rest of the ingredients.</t>
  </si>
  <si>
    <t>Skab din egen rødebede dip og lad vores AI hjælpe dig med at parre resten af ingredienserne.</t>
  </si>
  <si>
    <t>Kreiere deinen eigenen rote-Bete-Dip und lass dir von der KI gut passende Zutaten vorschlagen.</t>
  </si>
  <si>
    <t>Create a perfect snack or side dish with beet fries.</t>
  </si>
  <si>
    <t>Skab en perfekt snack eller sideret med rødbede pomfritter.</t>
  </si>
  <si>
    <t>Hummus is a popular Middle Eastern and Mediterranean dip made from mashed chickpeas blended with tahini, olive oil and lemon juice. Give it a unique red color by adding beetroot.</t>
  </si>
  <si>
    <t>Hummus er en populær Mellemøstlig og Middelashavs dip, lavet fra moste kikærter, olivenolie og citronsaft. Giv den en unik rød farve ved at tilføje rødbede.</t>
  </si>
  <si>
    <t>Hummus ist ein beliebter nahöstlicher und mediterraner Dip, der aus Kichererbsen, Tahini, Olivenöl und Zitronensaft gemacht wird. Gebe ihm eine einzigartige rote Farbe, indem du rote Bete hinzufügst.</t>
  </si>
  <si>
    <t>Create your very own veggie patties with beetroot and let our AI help you pair the rest of the ingredients.</t>
  </si>
  <si>
    <t>Skab din helt egne vegetar bøffer med rødbeder og lad vores AI hjælpe dig med at parre de resterende ingredienser.</t>
  </si>
  <si>
    <t>Kreiere deine eigenen Bratlinge mit roter Bete und lasse dir von der KI die restlichen Zutaten vorschlagen.</t>
  </si>
  <si>
    <t>GRIM + Wasa</t>
  </si>
  <si>
    <t>This is an upgrade for brownies — try it out yourself! It can also be a great gift for a dear friend.</t>
  </si>
  <si>
    <t>Special gelling sugar for berries</t>
  </si>
  <si>
    <t>Gelierzucker speziell für Beeren</t>
  </si>
  <si>
    <t>Berries are wonderful in desserts. The balance of sweet, sour and fresh is perfect for baking.</t>
  </si>
  <si>
    <t>Bær er vidunderlige i desserter. Den søde, syrlige og friske kombination er perfekt til bagning.</t>
  </si>
  <si>
    <t>Beeren wirken Wunder in Nachspeisen. Die süß-saure und frische Symphonie eignet sich perfekt zum Backen.</t>
  </si>
  <si>
    <t>These chocolatey treats are made with healthy ingredients.</t>
  </si>
  <si>
    <t>Disse chokolade indholdige godbidder er lavet med sunde ingredienser.</t>
  </si>
  <si>
    <t>Create a delicious dip out of your favorite vegetables to enjoy as an excellent appetizer or a dish on its own.</t>
  </si>
  <si>
    <t>Lav en lækker dip ud af dine favorit grøntsager, der kan nydes som en appetizer.</t>
  </si>
  <si>
    <t>Kreiere einen leckeren Dip mit deinem Lieblingsgemüse, als Beilage oder eigenständiges Gericht.</t>
  </si>
  <si>
    <t>Create your very own veggie patties with black beans and let our AI help you pair the rest of the ingredients.</t>
  </si>
  <si>
    <t>Kreiere deine eigenen Bratlinge mit schwarzen Bohnen und lasse dir von der KI die restlichen Zutaten vorschlagen.</t>
  </si>
  <si>
    <t>Create your very own blueberry smoothie and let our AI help match the rest of the ingredients.</t>
  </si>
  <si>
    <t>Skab din helt egen blåbær smoothie og lad vores AI hjælpe med at parre de resterende ingredienser.</t>
  </si>
  <si>
    <t>Kreiere deinen eigenen Heidelbeer Smoothie und lass dir von der KI passende Zutaten vorschlagen.</t>
  </si>
  <si>
    <t>Borscht is a sour soup common in Eastern Europe. It is made with beetroots as one of the main ingredients, which give the dish its distinctive red color.</t>
  </si>
  <si>
    <t>Borscht er en udbredt suppe i Østeuropa. Én af ovedingredienserne er rødbeder, som også giver den smukke røde farve.</t>
  </si>
  <si>
    <t>Borschtsch Suppe ist ein tradtionelles Gericht aus Osteurope, das seine grellrote Farbe der roten Bete zu verdanken hat.</t>
  </si>
  <si>
    <t>Nothing compares to the smell of homemade bread baking in the oven... And the taste is even better.</t>
  </si>
  <si>
    <t>Intet kan sammenlignes med duften af ​​hjemmelavet brød der bager i ovnen ... Og smagen er endnu bedre.</t>
  </si>
  <si>
    <t>This recipe transforms leftover stale bread into a sweet treat.</t>
  </si>
  <si>
    <t>Get creative with mixing in nuts, seeds, spices, or dried fruit!</t>
  </si>
  <si>
    <t>Vær kreativ ved at blande nødder, frø, krydderier eller tørret frugt i bollerne!</t>
  </si>
  <si>
    <t>Create your own dish of broccoli pasta and let our AI help pair the rest of the ingredients together.</t>
  </si>
  <si>
    <t>Skab din egen ret af broccoli pasta og lad vores AI hjælpe dig med at parre de resterende ingredienser.</t>
  </si>
  <si>
    <t>Kreiere deine eigene Brokkoli Pasta und lasse dir von der KI passende Zutaten vorschlagen</t>
  </si>
  <si>
    <t>Pagatavojiet savu brokoļu nūdeļu maltīti un ļaujiet mūsu programmai sakombinēt pārējās sastāvdaļas.</t>
  </si>
  <si>
    <t>Valmista enda brokoli pastaroog ning las meie tehisintellekt aitab sind ülejäänud hästi sobivate koostisosade valimisel.</t>
  </si>
  <si>
    <t>Create your very own veggie patties with broccoli and let our AI help you pair the rest of the ingredients.</t>
  </si>
  <si>
    <t>Kreiere deine eigenen Bratlinge mit Brokkoli und lasse dir von der KI die restlichen Zutaten vorschlagen.</t>
  </si>
  <si>
    <t>Use broccoli as a healthy alternative to rice.</t>
  </si>
  <si>
    <t>Brug Broccoli som et sundt alternativ til ris.</t>
  </si>
  <si>
    <t>Benutze Brokkoli als eine gesunde Alternative für Reis.</t>
  </si>
  <si>
    <t>An amazing cookie bursting with flavor and notes of caramel and umami due to the browned butter and dried sugar kelp</t>
  </si>
  <si>
    <t>Make a delicious appetizer using your leftover bread.</t>
  </si>
  <si>
    <t>Create your own bulgur casserole with help from our AI to match the rest of the ingredients.</t>
  </si>
  <si>
    <t>Skab din egen bulgur casserole med hjælp fra vores AI til at kombinere resten af ingredienserne.</t>
  </si>
  <si>
    <t>Kreiere deinen eigenen Bulgur-Auflauf mithilfe unserer KI, die dir passende Zutaten vorschlägt.</t>
  </si>
  <si>
    <t>Burritos are Tex-Mex traditions - but you can put ANYTHING in them!</t>
  </si>
  <si>
    <t>Lav din egen Tex-Mex burrito... og tøm køleren.</t>
  </si>
  <si>
    <t>Burritos sind ein traditionelles Tex-Mex Gericht, aber du kannst sie mit beliebigen Zutaten, die du zu Hause hast, füllen.</t>
  </si>
  <si>
    <t>Burritod on traditsiooniline roog Tex-Mex köögis - kuid sa võid neid täita KÕIGEGA!</t>
  </si>
  <si>
    <t>Yes - you can eat muffins for dinner! Not the sweet kind, but savory muffins with veggies inside</t>
  </si>
  <si>
    <t>Ja, du kan spise muffins til aftensmad! Ikke den søde slags, men umami med grøntsager indeni!</t>
  </si>
  <si>
    <t>Ja - du kannst Muffins zum Abendbrot essen! Zwar keine Süßen, aber herzhafte Muffins mit Gemüse.</t>
  </si>
  <si>
    <t>Create a dip based off of butternut squash and let our AI help you match the rest of the ingredients.</t>
  </si>
  <si>
    <t>Kreiere einen Dip auf der Basis von Butternusskürbis und lasse dir von der KI die restlichen passenden Zutaten vorschlagen.</t>
  </si>
  <si>
    <t>Create your own butternut squash mash and let our AI help you pair the rest of the ingredients.</t>
  </si>
  <si>
    <t>Kreiere deinen eigenen Butternuss-Kürbis-Brei und lass dir von der KI gut passende Zutaten vorschlagen.</t>
  </si>
  <si>
    <t>Try some variations to experience the different combinations of fillings and wraps.</t>
  </si>
  <si>
    <t>Use this basic cake recipe as the foundation for a tasty dessert.</t>
  </si>
  <si>
    <t>Brug denne grundlæggende kage opskrift som grundlaget for en velsmagende dessert.</t>
  </si>
  <si>
    <t>Quiche is a savoury French dish consisting of pastry crust filled with eggs, milk or cream, and cheese, and vegetables.</t>
  </si>
  <si>
    <t>Quiche er en velsmagende fransk ret som består af wienerbrød skorpe fyldt med æg, mælk eller fløde, ost og grøntsager.</t>
  </si>
  <si>
    <t>Eine Quiche ist eine Spezialität der französischen Küche - ein gebackener herzhafter Mürbeteig mit einer würzigen Füllung.</t>
  </si>
  <si>
    <t>Kišs ir franču ēdiens, kas sastāv no mīklas pamatnes, kas pildīt ar olām, pienu vai sieru un dārzeņiem.</t>
  </si>
  <si>
    <t>Quiche on prantsusepärane soolane pirukas, mis sisaldab muna, piima või koort, juustu ja köögivilju.</t>
  </si>
  <si>
    <t>Carrot cake - the perfect way to include a bit more vegetables in your sweets.</t>
  </si>
  <si>
    <t>Gulerodskage - den perfekte måde at inkludere lidt flere grøntsager i det søde.</t>
  </si>
  <si>
    <t>Create your own carrot dip and let our AI help you pair the ingredients.</t>
  </si>
  <si>
    <t>Kreiere deinen eigenen Karotten-Dip und lasse dir von der KI passende Zutaten vorschlagen.</t>
  </si>
  <si>
    <t>Create your own carrot mash and let our AI help you pair the rest of the ingredients.</t>
  </si>
  <si>
    <t>Skab din egen gulerodsmos og lad vores AI hjælpe dig med at parre resten af ingredienserne.</t>
  </si>
  <si>
    <t>Kreiere deinen eignen Karotten-Brei und lass dir von der KI passende Zutaten vorschlagen.</t>
  </si>
  <si>
    <t>Create a delicious layered casserole using your choice of grains and vegetables. Let the AI match the rest.</t>
  </si>
  <si>
    <t>Kreiere einen leckeren, geschichteten Auflauf mit Gemüse und Getreide deiner Wahl.</t>
  </si>
  <si>
    <t>Valmista enda maitsev kihiline vormiroog kasutades enda valitud tera- ja köögivilju. Las meie tehisintellekt aitab sind ülejäänud koostisosade valimisel.</t>
  </si>
  <si>
    <t>Create your own cauliflower mash and let our AI help you pair the rest of the ingredients.</t>
  </si>
  <si>
    <t>Skab din egen blomkålsmos og lad vores AI hjælpe dig med at parre resten af ingredienserne.</t>
  </si>
  <si>
    <t>Kreiere deinen eigenen Blumenkohl-Brei und lass dir von der KI gut passende Zutaten vorschlagen.</t>
  </si>
  <si>
    <t>Use cauliflower as a healthy alternative to rice.</t>
  </si>
  <si>
    <t>Brug blomkål som et sundt alternativ til ris.</t>
  </si>
  <si>
    <t>Benutze Blumenkohl als eine gesunde Alternative zu Reis.</t>
  </si>
  <si>
    <t>Moussaka is a casserole made with lightly fried vegetables layered in between a vegetable sauce. It is lasagna-like in structure, but without any pasta.</t>
  </si>
  <si>
    <t>Moussaka er en gryderet der er lavet med let steget grønsager lagt i mellem en grønsags sovs. Den har lasagne lignende struktur, men uden pasta.</t>
  </si>
  <si>
    <t>Moussaka ist ein Auflauf, der aus leicht angebratenem Gemüse geschichtet zwischen einer Gemüsesoße besteht. Die Struktur ist ähnlich der einer Lasagne, aber ohne Nudeln.</t>
  </si>
  <si>
    <t>Spicy cake for afternoon tea</t>
  </si>
  <si>
    <t>Chickpeas in a spicy gravy - truly warming comfort food inspired from India.</t>
  </si>
  <si>
    <t>Kikærter i en krydret sovs - En virkelig dejlig varm ret inspireret fra Indien.</t>
  </si>
  <si>
    <t>Kichererbsen in einer scharfen Soße - ein indisch inspiriertes, herzerwärmendes Gericht.</t>
  </si>
  <si>
    <t>Combine your favorite veggies with cheese to make a creamy dip.</t>
  </si>
  <si>
    <t>Kombiner din ynglings grønsager med ost til en lækker cremet dip.</t>
  </si>
  <si>
    <t>Kombiniere dein Lieblingsgemüse mit Käse, um einen cremigen Dip zu kreieren.</t>
  </si>
  <si>
    <t>Enjoy a healthy and nutritious chia based porridge for a great quick start to the morning.</t>
  </si>
  <si>
    <t>Nyd en sund og nærende chia-baseret grød til en god hurtig start på dagen.</t>
  </si>
  <si>
    <t>Genieße einen gesunden und nahrhaften Brei auf Chia-Basis für einen guten Start in den Morgen.</t>
  </si>
  <si>
    <t>Pasta salad is a dish prepared with chilled pasta - perfect for summertime!</t>
  </si>
  <si>
    <t>Pastasalat er en ret tilberedt med kold pasta - perfekt til sommeren!</t>
  </si>
  <si>
    <t>Nudelsalat ist ein Gericht mit kalten Nudeln - perfekt für den Sommer!</t>
  </si>
  <si>
    <t>Nūdeļu salātu pagatavošanai izmanto aukstas nūdeles. Lielisks ēdiens vasarai!</t>
  </si>
  <si>
    <t>Pastasalat valmistatakse jahtunud pastast - ideaalne suvisel ajal!</t>
  </si>
  <si>
    <t>Create your very own artful Buddha Bowl with chickpeas, we'll help you match the rest of the ingredients.</t>
  </si>
  <si>
    <t>Kreiere deine eigene, künstlerische Buddha Bowl mit Kichererbsen und lasse dir von der KI die restlichen Zutaten vorschlagen.</t>
  </si>
  <si>
    <t>Create your very own veggie patties with chickpeas and let our AI help you pair the rest of the ingredients.</t>
  </si>
  <si>
    <t>Kreiere deine eigenen Bratlinge mit Kichererbsen und lasse dir von der KI die restlichen Zutaten vorschlagen.</t>
  </si>
  <si>
    <t>Create your own vegetarian chili with your favorite vegetables added to a base of canned tomatoes, stock and of course chili pepper.</t>
  </si>
  <si>
    <t>Skab din egen vegetariske chili med dine yndlings grøntsager, tilføj det til en base af dåse tomater, bouillon og selvfølgelig chilipeber.</t>
  </si>
  <si>
    <t>Kreiere dein eigenes vegetarisches Chili, indem du dein Lieblingsgemüse zu einer Basis aus Dosentomaten, Gemüsebrühe und natürlich Chilischoten hinzugubst.</t>
  </si>
  <si>
    <t>Feel like dessert? Create a classic muffin.</t>
  </si>
  <si>
    <t>Lyst til dessert? Lav en klassisk muffin.</t>
  </si>
  <si>
    <t>Lust auf Dessert? Machen Sie einen klassischen Muffin.</t>
  </si>
  <si>
    <t>Chocolate Brownie with Agrain 03 Maskmel Stout</t>
  </si>
  <si>
    <t>Are your bananas turning brown? Then they are perfect for this delicious recipe.</t>
  </si>
  <si>
    <t>Bliver dine bananer brune? Så er de perfekte til denne lækre opskrift.</t>
  </si>
  <si>
    <t>Chill the mousse for at least 2 hours, but the longer you wait the tastier!</t>
  </si>
  <si>
    <t>A noodle stir-fry dish that originated in China, which has been adopted throughout the Western world.</t>
  </si>
  <si>
    <t>En nuddel baseret wok-ret fra Kina, der er blevet adopteret overalt i verden.</t>
  </si>
  <si>
    <t>Chow Mein ist ein Nudelgericht der chinesisch-amerikanischen Küche und wird im Wok mit Gemüse gebraten.</t>
  </si>
  <si>
    <t>Create your own roasted veggies for Christmas that can stand alone as a dish or act as the perfect side.</t>
  </si>
  <si>
    <t>Kreiere dein eigenes Röstgemüse für Weihnachten, das als Hauptgericht oder als perfekte Beilage serviert werden kann. Das wird selbst dem größten Fleischgenießer schmecken!</t>
  </si>
  <si>
    <t>Create your very own quick and easy nachos and let our AI guide your choices along the way.</t>
  </si>
  <si>
    <t>Skab din helt egen hurtige og nem nachos og lad vores AI guide dig med vælge ingredienserne.</t>
  </si>
  <si>
    <t>Kreiere dein eigenes Nachogericht, ganz schnell und einfach. Lasse dir von der KI passende Zutaten vorschlagen.</t>
  </si>
  <si>
    <t>If you have your homemade Dough Base, skip straight to the filling and baking!</t>
  </si>
  <si>
    <t>Hvis du har din hjemmelavede dejbase, skal du springe direkte til fyldet og bagning!</t>
  </si>
  <si>
    <t>A traditional cheesecake recipe - creamy, smooth, and dreamy...</t>
  </si>
  <si>
    <t>En traditionel cheesecake opskrift - cremet, glat og helt drømmende ...</t>
  </si>
  <si>
    <t>A classic jam with any of your favorite fruits.</t>
  </si>
  <si>
    <t>einfach, nur noch Früchte dazugeben</t>
  </si>
  <si>
    <t>Lasagna is an Italian dish made with stacked layers of pasta alternating with sauce, cheese and vegetables, often topped with melted grated cheese.</t>
  </si>
  <si>
    <t>Lagasne er en italiensk ret lavet af skiftevis pasta og sauce, ost og grøntsager. Som regel er der godt med revet ost på toppen!</t>
  </si>
  <si>
    <t>Lasagne ist eine italienischer Klassiker und wird aus mehreren Schichten aus Lasagneplatten, Sauce, Käse und Gemüse gemacht.</t>
  </si>
  <si>
    <t>Feel like dessert? Create a classic muffin with milk, eggs, butter, and wheat flour.</t>
  </si>
  <si>
    <t>Lyst til dessert? Skab en klassisk muffin med en base af mælk, æg, smør, og hvedemel.</t>
  </si>
  <si>
    <t>Lust auf Dessert? Erstelle einen klassischen Muffin mit Milch, Eiern, Butter, und Weizenmehl.</t>
  </si>
  <si>
    <t>Create a delicious vegetable wrap with some of your favorite ingredients.</t>
  </si>
  <si>
    <t>Opret en lækker vegetabilsk tortilla med nogle af dine yndlingsingredienser.</t>
  </si>
  <si>
    <t>Kreiere einen köstlichen Gemüsewrap mit einigen deiner Lieblingszutaten.</t>
  </si>
  <si>
    <t>Muesli bars are convenient and tasty on the go.</t>
  </si>
  <si>
    <t>Müslibarer er praktisk og velsmagende på farten.</t>
  </si>
  <si>
    <t>Homemade granola is a crunchy and delicious choice for breakfast, a snack, or topping.</t>
  </si>
  <si>
    <t>Create your own cold soup with raw ingredients! Super fast prepping time, but you'll just have to cool it in the fridge.</t>
  </si>
  <si>
    <t>Frisk kold suppe. Tilbered på 5 minutter, og afkøl derefter i køleskabet.</t>
  </si>
  <si>
    <t>Kreiere deine eigene kalte Suppe mit rohen Zutaten! Sie ist super schnell zubereiten, du musst sie nur im Kühlschrank abkühlen lassen.</t>
  </si>
  <si>
    <t>Easy and cheap Asian porridge that tastes amazing. Topping is key!</t>
  </si>
  <si>
    <t>Traditional french clear soup, which uses method to clear any soup/broth</t>
  </si>
  <si>
    <t>Make quick muffins for dinner! Containing about 50% veggies, these kinds will be a bit moist on the inside.</t>
  </si>
  <si>
    <t>Lav 30 minutters muffins til aftensmad! Grøntsagerne vil gøre dem lidt fugtige indeni, men tag ikke fejl - dejen er færdigbagt!</t>
  </si>
  <si>
    <t>Mache herzhafte Muffins zum Abendessen in nur 30 Minuten - mit ca. 50%  Gemüse werden diese Muffins super saftig!</t>
  </si>
  <si>
    <t>A Daal is an Indian stew made with pulses cooked in stock and tomatoes, and seasoned with spices from the Indian subcontinent.</t>
  </si>
  <si>
    <t>Daal er en Indisk gryderet med linser og masser af Sydasiatiske krydderier.</t>
  </si>
  <si>
    <t>Das indische Nationalgericht ist nicht nur herzerwärmend, sondern auch besonders gesund, mit Linsen und typischen Gewürzen, die positive Effekte auf deinen Körper haben.</t>
  </si>
  <si>
    <t>Create your own soup recipe!</t>
  </si>
  <si>
    <t>Skab din egen suppe opskrift med hjælp fra kunstig intelligens.</t>
  </si>
  <si>
    <t>Kreiere dein eigenes Suppenrezept!</t>
  </si>
  <si>
    <t>Salmorejo is a traditional soup from southern Spain, made of tomato and leftover bread.</t>
  </si>
  <si>
    <t>Smooth but rich in flavor, create an extra creamy white sauce for your mushroom pasta.</t>
  </si>
  <si>
    <t>Glat men rig i smag, skab en ekstra cremet hvid sauce til din champignonpasta.</t>
  </si>
  <si>
    <t>Mild aber reich an Geschmack, kreiere eine extra cremige weiße Soße für deine Pilznudeln.</t>
  </si>
  <si>
    <t>Pagatavojiet garšīgu, īpaši krēmīgu balto mērci savai sēņu nūdeļu maltītei.</t>
  </si>
  <si>
    <t>Valmista enda pastale kreemine valge kaste, mis on ühtlane, kuid maitserikas, ning mida saad nautida nii lõuna- kui ka õhtusöögiks!</t>
  </si>
  <si>
    <t>Smooth but rich in flavor, create an extra creamy white sauce for your pasta that can be enjoyed for lunch or dinner!</t>
  </si>
  <si>
    <t>Smooth men rig på smag. Skab en kremet hvid sauce til din pasta, der kan folde krydderierne ud i flere lag.</t>
  </si>
  <si>
    <t>Mild aber reich an Geschmack. Erstelle eine würzige weiße Sauce für deine Pasta, die zum Mittag- oder Abendessen genossen werden kann!</t>
  </si>
  <si>
    <t>Pagatavojiet garšīgu un īpaši krēmīgu balto mērci un baudiet lielisku nūdeļu maltīti pusdienās vai vakariņās!</t>
  </si>
  <si>
    <t>Smooth but rich in flavor, create an extra creamy  vegan sauce for your pasta that's based on nuts!</t>
  </si>
  <si>
    <t>Mild aber reich an Geschmack; kreiere eine extra cremige Soße auf der Basis von Nüssen für deine Nudeln!</t>
  </si>
  <si>
    <t>descr</t>
  </si>
  <si>
    <t>Delicious and creamy beets tartare on a crispbread base, topped with kale leaves.</t>
  </si>
  <si>
    <t>Description</t>
  </si>
  <si>
    <t>Curries are stews originating from the Indian Subcontinent that use a combination of spices and herbs to create an authentic regional dish.</t>
  </si>
  <si>
    <t>Karry er en blanding, der stammer fra Indien, som med en kombination af krydderier og krydderurter skaber en autentisk ret.</t>
  </si>
  <si>
    <t>Curry ist ein authentisches Gericht aus der südasiatischen Küche - auf der Basis einer sämigen Sauce mit vielen verschiedenen Gewürzen.</t>
  </si>
  <si>
    <t>Turn the veggies you already have into a tasty dip that can be enjoyed on its own or as an appetizer.</t>
  </si>
  <si>
    <t>Gør dine grøntsager til en smagfuld spread, som du kan nyde på brød eller som appetizer..</t>
  </si>
  <si>
    <t>Verwandle das Gemüse, das du bereits hast, in einen leckeren Dip, den du alleine oder als Vorspeise genießen kannst.</t>
  </si>
  <si>
    <t>Pagatavojiet no mājās esošajiem dārzeņiem garšīgu mērcīti - baudiet to vienu pašu vai kā uzkodu.</t>
  </si>
  <si>
    <t>Muuda enda olemasolevad köögiviljad maitsvaks eelroaks või toiduroaks kasutades dipikastet.</t>
  </si>
  <si>
    <t>Create your own pasta with eggplant and let our AI match the other perfect ingredients.</t>
  </si>
  <si>
    <t>Skab din egen pasta med aubergine og lad vores AI match de perfekte ingredienser til.</t>
  </si>
  <si>
    <t>Kreiere dein eigenes Auberginen Pasta Gericht und lass dir von der KI passende Zutaten vorschlagen.</t>
  </si>
  <si>
    <t>Pagatavojiet savu baklažānu nūdeļu maltīti un ļaujiet mūsu programmmai sakombinēt pārējās sastāvdaļas.</t>
  </si>
  <si>
    <t>Valmista enda baklažaani pastaroog ning las meie tehisintellekt aitab sind ülejäänud ideaalselt sobivate koostisosade valimisel.</t>
  </si>
  <si>
    <t>Create your very own eggplant pizza and our AI will help you match the rest of the ingredients together.</t>
  </si>
  <si>
    <t>Add fruit and sugar</t>
  </si>
  <si>
    <t>Früchte und Zucker dazugeben</t>
  </si>
  <si>
    <t>Coffee enhances the chocolate in this deep and darkly flavored cake.</t>
  </si>
  <si>
    <t>Kaffe forbedrer chokoladen i denne dybe og mørke smagfulde kage.</t>
  </si>
  <si>
    <t>Falafel is a deep-fried ball or patty made from ground chickpeas with herbs and spices. It is a staple Middle Eastern dish!</t>
  </si>
  <si>
    <t>Falafel er lavet med kikærter og mellemøstlige krydderier. Det er 'vegetariske frikadeller'… men sundere, mere bæredygtige og lækrere.</t>
  </si>
  <si>
    <t>Falafel sind gebackene oder gebratene Bällchen aus pürierten Bohnen oder Kichererbsen, Kräutern und Gewürzen. Das Gericht stammt aus der arabischen Küche!</t>
  </si>
  <si>
    <t>Create a delicious forest fruit smoothie using strawberries, blackberries, blueberries and raspberries!</t>
  </si>
  <si>
    <t>Skab en lækker skovfrugt smoothie ved at bruge jordbær, solbær, blåbær og hinbær!</t>
  </si>
  <si>
    <t>Kreiere deinen eigenen Waldfrucht Smoothie und lass dir von der KI die restlichen, passenden Zutaten vorschlagen.</t>
  </si>
  <si>
    <t>Use Reduced Beef Stock in this recipe.</t>
  </si>
  <si>
    <t>Julefrokost</t>
  </si>
  <si>
    <t>Create your own fried rice and let our AI help guide you to pairing the remaining ingredients.</t>
  </si>
  <si>
    <t>Skab din egen lynsteget ris ret og lad vores  AI hjælpe dig med at parre de resterende ingredienser.</t>
  </si>
  <si>
    <t>This cake is sure to impress with lots of juicy fruits to complement the pillowy whipped cream topping.</t>
  </si>
  <si>
    <t>Denne kage skal nok imponere, med masser af saftig frugt oven på blød og luftigt flødeskum.</t>
  </si>
  <si>
    <t>A less sweet jam with any of your favorite fruits.</t>
  </si>
  <si>
    <t>Just add fruit</t>
  </si>
  <si>
    <t>Garlic flute with 05 Agrain Smoked Super Grain Flour</t>
  </si>
  <si>
    <t>This salad has it all - crispy, fresh, crunchy, spicy. A real fiesta for your taste buds.</t>
  </si>
  <si>
    <t>Dieser Salat hat es alles - er ist knackig, frisch, knusprig, scharf. Ein wahres Fest für deine Geschmacksnerven.</t>
  </si>
  <si>
    <t>Today is a great time for aromatic gingerbread cookies! Enjoy the process and the taste of this delicious treat.</t>
  </si>
  <si>
    <t>Inspired by traditional Danish rye bread, this gluten-free version is dense, soft and seedy.</t>
  </si>
  <si>
    <t>These seedy crackers are a healthy and savory snack, or the perfect crunchy accompaniment to a soup or salad.</t>
  </si>
  <si>
    <t>Dette sunde knækbrød er en sund og lækker snack, eller den perfekte sprøde akkompagnement til en suppe eller salat.</t>
  </si>
  <si>
    <t>These pillowy pasta-like puffs are traditionally made from potatoes, but any starchy vegetable will work as well.</t>
  </si>
  <si>
    <t>Den her luftig pasta lignende ret er traditionelt lavet af kartofler, men enhver stivelsesholdige grøntsager fungerer også.</t>
  </si>
  <si>
    <t>Create your own version and get inspired by other user's Jam of the Week!</t>
  </si>
  <si>
    <t>Lav din egen version og bliv inspireret af andre brugers “Jam of the Week”</t>
  </si>
  <si>
    <t>Kreiere deine eigene Version und lasse dich von den Jams der Woche anderer Benutzer inspirieren!</t>
  </si>
  <si>
    <t>Perfect for filling in a wrap or on top of a salad.</t>
  </si>
  <si>
    <t>Perfekt som fyld til en wrap eller oven på en salat.</t>
  </si>
  <si>
    <t>Choose a wholegrain, seed, nut or protein source; then discover a dish for it</t>
  </si>
  <si>
    <t>Vælg et fuldkorn, frø, nød eller protein kilde... opdag så en ret med dit valg</t>
  </si>
  <si>
    <t>Wähle eine Vollkorn-, Samen-, Nuss- oder Proteinquelle; dann entdecke ein Gericht dafür</t>
  </si>
  <si>
    <t>Guacamole is an avocado based dip that originated from Mexico, but is now a part of international cuisine.</t>
  </si>
  <si>
    <t>Guacamole er en avokoado baseret dip, der har oprindelse i Mexico, men som nu er en del af det internationale køkken.</t>
  </si>
  <si>
    <t>Guacamole ist ein mexikanischer Avocado-Dip und ist mittlerweile ein Klassiker in aller Welt.</t>
  </si>
  <si>
    <t>Guacamole delcious and healthy.</t>
  </si>
  <si>
    <t>Create a muffin without sugar, butter, ...</t>
  </si>
  <si>
    <t>Skab en muffin uden sukker, smør,...</t>
  </si>
  <si>
    <t>Kreiere ein Muffin ohne Zucker, Butter, ...</t>
  </si>
  <si>
    <t>Homemade pasta with Agrain</t>
  </si>
  <si>
    <t>Create your own homemade pizza dough and add your favorite toppings to create a delicious pizza.</t>
  </si>
  <si>
    <t>Skab din egen hjemmelavet pizzadej og tilføj din ynglings topping for at skabe en lækker pizza.</t>
  </si>
  <si>
    <t>Create your own spicy dip by letting our AI help pair delicious ingredients with your chili pepper.</t>
  </si>
  <si>
    <t>Kreiere deinen eigenen scharfen Dip, indem du dir von der KI leckere, gut zu Chilischote passende Zutaten vorschlagen lässt.</t>
  </si>
  <si>
    <t>Hummus is a popular Middle Eastern and Mediterranean dip made from mashed chickpeas blended with tahini, olive oil and lemon juice. Jam the rest to make it unique!</t>
  </si>
  <si>
    <t>Hummus har altid kikærter, oliven olie, tahini og citron... jam resten</t>
  </si>
  <si>
    <t>Hummus ist eine orientalische Spezialität, die aus pürierten Kichererbsen, Tahini, Olivenöl und Zitronensaft hergestellt wird - den Rest entscheidest du!</t>
  </si>
  <si>
    <t>Give your veggies an Indian twist with this tasty aromatic sauce!</t>
  </si>
  <si>
    <t>Giv dine grøntsager et Indisk twist med denne lækre aromatiske sovs!</t>
  </si>
  <si>
    <t>Gib deinem Gemüse eine indische Note mit dieser leckeren, aromatischen Soße!</t>
  </si>
  <si>
    <t>Make quick muffins for dinner! Containing about 50% veggies, they will be moist on the inside.</t>
  </si>
  <si>
    <t>Omelettes are enjoyed the world over! In Japan eggs are mixed with soy sauce, rice vinegar and sugar to give the starting base to the omelette.</t>
  </si>
  <si>
    <t>Omeletter bliver nydt i hele verden! I Japan blandes æg med soya, riseddike og sukker for at skabe basen til omeletten.</t>
  </si>
  <si>
    <t>Omelettes sind eine beliebte Eierspeise. In Japan werden die Eier mit Sojasauce, Reisessig und Zucker vermischt, um die Basis dieses Gerichts zu bilden.</t>
  </si>
  <si>
    <t>Create a delicious Japanese inspired sauce that is perfect for your dishes or as a side dip for just about anything.</t>
  </si>
  <si>
    <t>Skab en lækker japansk inspireret sovs, der er perfekt til dine retter eller som en side dip til næsten alt.</t>
  </si>
  <si>
    <t>Kreiere eine köstliche japanisch inspirierte Sauce, die sich perfekt für Pfannengerichte, gebratenes Gemüse oder als Beilage für so gut wie alles eignet.</t>
  </si>
  <si>
    <t>Turn fresh kale leaves into delicious good-for-you baked snacks.</t>
  </si>
  <si>
    <t>Du kan forvandle friske kålblade til lækre snacks, der oven i købet er gode for dig.</t>
  </si>
  <si>
    <t>Im Ofen geröstet werden die grünen Blätter zu würzigen, gesunden Gemüsechips.</t>
  </si>
  <si>
    <t>If you have extra lime zest, use it as a garnish to make your pie beautiful!</t>
  </si>
  <si>
    <t>Want a low-carb option for burritos? Use lettuce as your wrap instead... just as delicious and with a crispier texture.</t>
  </si>
  <si>
    <t>Tacos med få kulhydrater? Brug salat som dine tortillas... lige så lækker og med en sprødere struktur.</t>
  </si>
  <si>
    <t>Willst du eine Low-Carb-Option für Burritos? Verwenden Sie stattdessen Salat als Wrap ... genauso lecker und mit einer knusprigeren Textur.</t>
  </si>
  <si>
    <t>Give the classical pizza a twist with a Korean inspired base of soy sauce, brown sugar and sesame oil!</t>
  </si>
  <si>
    <t>Giv denne klassiske pizza et twist af koreansk inspireret base af sojasovs, brun sukker og sesam olie!</t>
  </si>
  <si>
    <t>Verleihe klassischer Pizza einen besonderen Geschmack mit koreanisch inspirierten Aromen.</t>
  </si>
  <si>
    <t>Create a veggie lasagna using the delicious ingredients you already have, with the traditional tomato sauce as the base!</t>
  </si>
  <si>
    <t>Skab din egen grøntsagsbaserede lasagne!</t>
  </si>
  <si>
    <t>Erstelle eine Gemüse-Lasagne mit den köstlichen Zutaten, die du bereits hast!</t>
  </si>
  <si>
    <t>Pagatavojiet dārzeņu lazanju, izmantojot jums pieejamās sastāvdaļas un tomātu mērci.</t>
  </si>
  <si>
    <t>Valmista köögiviljalasanje kasutades maitsvaid olemasolevaid koostisosi ning traditsioonilist tomatikastet baasina.</t>
  </si>
  <si>
    <t>These healthy cookies are made with orange but you can make them also with lemon, mandarin, or grapefruit. You can also dip them in chocolate, which is fantastic in combination with the citrus flavor!</t>
  </si>
  <si>
    <t>Disse sunde kiks er lavet med appelsin, men de kan også laves med citron, mandarin, eller grapefrugt. De kan også dyppes i chokolade, som er helt vidunderligt med citrus-smagen!</t>
  </si>
  <si>
    <t>Create your own Vietnamese Lemongrass soup letting our AI help you pair ingredients together.</t>
  </si>
  <si>
    <t>Skab din egen Vietnamesisk citrongræs nudelsuppe og lad vores AI hjælpe med at parre resten af ingredienserne.</t>
  </si>
  <si>
    <t>Create your very own veggie patties with lentils and let our AI help you pair the rest of the ingredients.</t>
  </si>
  <si>
    <t>Kreiere deine eigenen Bratlinge mit Linsen und lasse dir von der KI die restlichen Zutaten vorschlagen.</t>
  </si>
  <si>
    <t>Vegetarian korma is deliciously spiced and creamy Indian stew with lots of crisp vegetables.</t>
  </si>
  <si>
    <t>Vegetarisk korma er en skøn, cremet og krydret indisk gryderet med en masse sprøde grøntsager.</t>
  </si>
  <si>
    <t>Vegetarisches Korma ist ein lecker gewürzter, kremiger indischer Eintopf mit vielem knackigen Gemüse.</t>
  </si>
  <si>
    <t>This healthy low FODMAP breakfast or dessert is gluten free, low carb and vegan.</t>
  </si>
  <si>
    <t>This warming low FODMAP Soup is gluten free and dairy free. It's a delicious addition to your entertaining menu.</t>
  </si>
  <si>
    <t>This colorful dish is a perfect main vegan dish to brighten up and table.</t>
  </si>
  <si>
    <t>Himmelska veganska burgare med supergoda fries. Nyttigt, gott och enkelt att tillreda.</t>
  </si>
  <si>
    <t>Den här vegetariska variationen på den klassiska svensk husmansanrättningen Pytt i Panna smakar utomordentligt gott. Går även att göra vegansk, bara skippa äggen.</t>
  </si>
  <si>
    <t>Blend in mango into your smoothie for a tropical splash!</t>
  </si>
  <si>
    <t>Bland mango in i din smoothie for at få en smag af det tropiske.</t>
  </si>
  <si>
    <t>Für einen tropischen Touch, füge Mango zu deinem Smoothie hinzu!</t>
  </si>
  <si>
    <t>GRIM x Wasa</t>
  </si>
  <si>
    <t>Create a delicious vegetable mash out of your favorite veggies. We'll help pair them up with other delicious ingredients.</t>
  </si>
  <si>
    <t>Opret en lækker grøntsagsmos ud af dine yndlingsgrøntsager. Vi hjælper med at parre dem sammen med andre lækre ingredienser.</t>
  </si>
  <si>
    <t>Kreiere einen köstlichen Gemüsebrei aus deinem Lieblingsgemüse. Wir helfen dir dabei, es mit anderen leckeren Zutaten zu kombinieren.</t>
  </si>
  <si>
    <t>Valmista maitsev köögiviljapüree enda lemmik köögiviljadest. Me aitame sind ülejäänud maitsvate köögiviljade valimisel.</t>
  </si>
  <si>
    <t xml:space="preserve">This recipe can be altered to substitute the parsnips for a host of other vegetables. </t>
  </si>
  <si>
    <t>Create your own mashed potatoes and let our AI help you pair the rest of the ingredients.</t>
  </si>
  <si>
    <t>Skab din egen kartoffelmos og lad vores AI hjælpe dig med at parre resten af ingredienserne.</t>
  </si>
  <si>
    <t>Kreiere deinen eigenen Kartoffelbrei und lass dir von der KI gut passende Zutaten vorschlagen.</t>
  </si>
  <si>
    <t>An omelette enjoyed loaded with all of your favorite Mediterranean ingredients!</t>
  </si>
  <si>
    <t>En omelet med masser af middelhavs ingredienser</t>
  </si>
  <si>
    <t>Omelett geht immer, ob zum Frühstück, Mittag oder Abendessen. Die leckere Eierspeise ist schnell gemacht und sättigt gut.</t>
  </si>
  <si>
    <t>Give the traditional pasta a twist with this exotic version influenced by regional Mexican ingredients.</t>
  </si>
  <si>
    <t>Giv den traditionelle pasta et Mexikansk twist med chili, koriander, avocado,...</t>
  </si>
  <si>
    <t>Verleihe der traditionellen Pasta einen exotischen Twist mit regionalen mexikanischen Zutaten wie Chilli, Avocado..</t>
  </si>
  <si>
    <t>Papildiniet tradicionālos nūdeļu ēdienus ar šīm meksikāņu sastāvdaļām un piešķiriet tiem īpaši eksotisku garšu!</t>
  </si>
  <si>
    <t>Muuda traditsiooniline pasta eksootiliseks lisades sellele Mehhiko maitseid.</t>
  </si>
  <si>
    <t>Give the traditional pizza a twist with this exotic version influenced by regional Mexican ingredients.</t>
  </si>
  <si>
    <t>Mexikansk pizza behøver ikke være den tarvelige nede fra hjørnet. Klassiske Mexikanske ingredienser ér gode på hvede!</t>
  </si>
  <si>
    <t>Verleihe der traditionellen Pizza mit diesen regionalen mexikanischen Zutaten eine besondere Note.</t>
  </si>
  <si>
    <t>Create your very own salad using ingredients found in Mexican cuisine.</t>
  </si>
  <si>
    <t>Lav din helt egen salat med ingredienser fra det mexicanske køkken.</t>
  </si>
  <si>
    <t>Kreiere deinen eigenen Salat mit Zutaten aus der mexikanischen Küche.</t>
  </si>
  <si>
    <t>Pagatavojiet salātus, izmantojot meksikāņu virtuves produktus!</t>
  </si>
  <si>
    <t>Valmista päris oma salat kasutades Mehhiko köögis leitavaid koostisosi.</t>
  </si>
  <si>
    <t>Plant Jammer's CEO, Michael, loves to roast his veggies to maximizing flavor. Substitute his favorite ingredients by clicking them below.</t>
  </si>
  <si>
    <t>Miso soup is a traditional Japanese soup that lies at the heart of Japanese cuisine. Miso paste, a fermented soybean paste, creates the base of this soup.</t>
  </si>
  <si>
    <t>Miso suppe er en traditionel japansk suppe og udgør hjertet af det japansk køkken. Det er miso pasta, en fermenteret sojabønnepasta, der skaber basen af denne lækre suppe.</t>
  </si>
  <si>
    <t>Miso Suppe ist ein Klassiker der japanischen Küche. Miso Paste, eine fermentierte Sojabohnenpaste, bildet die Basis dieser Suppe.</t>
  </si>
  <si>
    <t>Moussaka on vormiroog, mis on valmistatud kergelt praetud köögiviljadest, mis on laotatud kihiti köögiviljakastmega. Sellel on lasanjelaadne põhikuju, kuid selles puudub pasta.</t>
  </si>
  <si>
    <t>This recipe is lectin-free, inspired by the Plant Paradox diet.</t>
  </si>
  <si>
    <t>Dieses Rezept ist von der Plant Paradox Diät inspiriert und lektinfrei.</t>
  </si>
  <si>
    <t>Create your very own mushroom pizza and our AI will help you match the rest of the ingredients together.</t>
  </si>
  <si>
    <t>Classic seasonal starter with a hint of natural saltiness from the sea</t>
  </si>
  <si>
    <t>Savory Indian bread: with delicious, sustainable and nutritious Agrain flour.</t>
  </si>
  <si>
    <t>Give your oven a day off with this recipe!</t>
  </si>
  <si>
    <t>Giv din ovn en fridag med denne opskrift!</t>
  </si>
  <si>
    <t>Create a muffin without processed sugar.</t>
  </si>
  <si>
    <t>Skab en muffin uden forarbejdet sukker</t>
  </si>
  <si>
    <t>Kreiere einen Muffin ohne Industrie-Zucker</t>
  </si>
  <si>
    <t>Create a Nordic inspired roasted salad combined with fresh seasonal greens.</t>
  </si>
  <si>
    <t>Lav en nordisk inspireret stegt salat kombineret med friske sæsonbestemte grønne.</t>
  </si>
  <si>
    <t>Kreiere einen nordisch inspirierten, gerösteten Salat, kombiniert mit frischem Gemüse der Saison.</t>
  </si>
  <si>
    <t>A classic sweet treat with a nutty twist.</t>
  </si>
  <si>
    <t>Chocolate and nuts is a classical match in muffins. Sweet, bitter and crunchy!</t>
  </si>
  <si>
    <t>Chokolade og nødder er en klassisk kombination i muffins. Sød, bitter og knasende!</t>
  </si>
  <si>
    <t>Schokolade und Nüsse sind eine klassische Kombination für Muffins. Süß, bitter und knusprig!</t>
  </si>
  <si>
    <t>These breakfast muffins with oats will be a perfect start to your day!</t>
  </si>
  <si>
    <t>Disse morgenmadsmuffins med havre vil være en perfekt start på din dag!</t>
  </si>
  <si>
    <t>Diese Frühstücksmuffins mit Hafer sind der perfekte Start in den Tag!</t>
  </si>
  <si>
    <t>Naudi omletti, mis on täidetud sinu lemmik Vahemere köögiviljadega!</t>
  </si>
  <si>
    <t>GRIM and Wasa collaboration recipe</t>
  </si>
  <si>
    <t>GRIM og Wasa samarbejdsopskrift</t>
  </si>
  <si>
    <t>Orzotto is a traditional Italian dish similar to risotto, but using barley instead of rice.</t>
  </si>
  <si>
    <t>Bygotto er en traditionel Italiensk ret som minder meget om risotto, men man bruger byg i stedet for ris.</t>
  </si>
  <si>
    <t>Mediterrenean ingredients like tomatoes, zucchini or eggplants can gain amazing depth with a bit of roasting.</t>
  </si>
  <si>
    <t>Middelhavs ingredienser, som tomater, squash eller aubergine, opnår fantastisk dybde ved ovnbagning</t>
  </si>
  <si>
    <t>Mediterrane Zutaten wie Tomaten, Zucchini oder Auberginen bekommen ein tolles, tiefes Aroma, wenn sie im Ofen gebacken werden.</t>
  </si>
  <si>
    <t>Vahemere köögiviljad nagu näiteks tomatid, suvikõrvits või baklažaan saavad ahjus küpsetades sügavamat maitset juurde.</t>
  </si>
  <si>
    <t>In a time crunch? Make some overnight oats so that your porridge breakfast is already waiting for you when you wake up!</t>
  </si>
  <si>
    <t>Travlt? Lav natten over havergrød - så er grød morgenmad klar til dig, når du står op!</t>
  </si>
  <si>
    <t>Morgens keine Zeit und Lust, dein Frühstück vorzubereiten? Overnight Oats sind die Lösung - ein richtiges Powerfrühstück!</t>
  </si>
  <si>
    <t>Lots of nutrient-rich fruits and healthy omega-3 fats in this filling and tasty breakfast.</t>
  </si>
  <si>
    <t>Masser af næringsrigt frugt og sunde omega-3 fedtsyre i denne lækker og mættende morgenmadsret.</t>
  </si>
  <si>
    <t>Create your very own take on this traditional national Thai dish. Let out AI help pair your ingredients together!</t>
  </si>
  <si>
    <t>Kreiere deine eigene Version dieses traditionellen Thai-Gerichts. Die KI hilft dir, passende Zutaten zu finden!</t>
  </si>
  <si>
    <t>Start your day with a batch of homemade pancakes.</t>
  </si>
  <si>
    <t>A kick-ass easy-to-do dish that takes no more than 10 min to prepair.</t>
  </si>
  <si>
    <t>All dishes in Plant Jammer work by:</t>
  </si>
  <si>
    <t>1. Choose your ingredients</t>
  </si>
  <si>
    <t>2. Get a recipe with exactly those ingredients"</t>
  </si>
  <si>
    <t xml:space="preserve">Sådan fungere alle retter i Plant Jammer: </t>
  </si>
  <si>
    <t>1) Vælg dine ingredienser</t>
  </si>
  <si>
    <t>2) Få en opskrift med præcis de ingredienser"</t>
  </si>
  <si>
    <t>Wie alle Gerichte in Plant Jammer funktionieren:</t>
  </si>
  <si>
    <t>1) Wählen Sie Ihre Zutaten</t>
  </si>
  <si>
    <t>2) Holen Sie sich ein Rezept mit genau den Zutaten"</t>
  </si>
  <si>
    <t>Kõik toiduroad Plant Jammer leheküljel toimivad järgnevalt: 1. Vali enda koostisosad 2. Leia täpselt neid koostisosi sisaldav retsept</t>
  </si>
  <si>
    <t>Create a perfect snack or side dish with parsnip fries.</t>
  </si>
  <si>
    <t>Skab en perfekt snack eller sideret med Pastinak Pomfritter.</t>
  </si>
  <si>
    <t>Create your own parsnip mash and let our AI help you pair the rest of the ingredients.</t>
  </si>
  <si>
    <t>Kā pagatavot maltīti Plant Jammer: 1. Izvēlieties sastāvdaļas 2. Saņemiet recepti, kurā izmantotas šīs sastāvdaļas</t>
  </si>
  <si>
    <t>Thermomix</t>
  </si>
  <si>
    <t>Create your very own peach smoothie and let our AI help match the rest of the ingredients.</t>
  </si>
  <si>
    <t>Skab din helt egen fersken smoothie og lad vores AI hjælpe dig med at parre de resterende ingredienser.</t>
  </si>
  <si>
    <t>Kreiere deinen eigenen Pfirsich Smoothie und lass dir von der KI passende Zutaten vorschlagen.</t>
  </si>
  <si>
    <t>Use your homemade Dough Base to build a pizza for a tasty dinner idea.</t>
  </si>
  <si>
    <t>Brug din hjemmelavet Dej til at bygge basen til en lækker pizza.</t>
  </si>
  <si>
    <t>Add a pleasant sour flavor to any dish you make by pickling your favorite vegetables.</t>
  </si>
  <si>
    <t>Blend in pineapple and mango into your smoothie for a tropical splash!</t>
  </si>
  <si>
    <t>Blend ananas og mango samen til en smoothie for en tropisk oplevelse.</t>
  </si>
  <si>
    <t>Für einen tropischen Touch, füge Mango und Ananas zu deinem Smoothie hinzu!</t>
  </si>
  <si>
    <t>Create a pizza with the ingredients you have, we'll help guide you with the most common choices.</t>
  </si>
  <si>
    <t>Byg din egen pizza!</t>
  </si>
  <si>
    <t>Erstelle eine Pizza mit den Zutaten, die du bereits hast. Wir zeigen dir, welche Zutaten am häufigsten verwendet werden.</t>
  </si>
  <si>
    <t>Pagatavojiet picu ar jums pieejamajām sastāvdaļām, un mēs palīdzēsim izvēlēties kādu no biežāk gatavotajiem picu veidiem.</t>
  </si>
  <si>
    <t>Valmista pitsa olemasolevate koositsosadega, me aitame sul valida kõige tavapärasemate valikute vahel.</t>
  </si>
  <si>
    <t>Pizza Bianca is a twist on the classic pizza, using a white sauce as the base instead of the classic tomato base.</t>
  </si>
  <si>
    <t>Pizza Bianca er et twist af den traditionelle pizza, da basen nu udgøres af en hvid sauce og ikke den typiske tomatsauce.</t>
  </si>
  <si>
    <t>Kross gebackener Pizzateig, schmelzender Käse, frisches Topping – aber die Tomatensauce suchst du hier vergeblich. Denn Pizza Bianca sorgt auch ohne sie für pures Schlemmerglück.</t>
  </si>
  <si>
    <t>Delicious delicate fish with creamy buttery sauce and pan seared leeks.</t>
  </si>
  <si>
    <t>Oatmeal is the world's fastest breakfast. Pour boiling water on top, and wait 5 minutes - voilá porridge!</t>
  </si>
  <si>
    <t>Havregrød er verdens hurtigste morgenmad. Hæld kogende vand over dine ingredienser og vent 5 minutter.</t>
  </si>
  <si>
    <t>Dieser Haferbrei ist nicht nur gesund und lecker, sondern auch super schnell zubereitet und hält lange satt.</t>
  </si>
  <si>
    <t>Puder on maailma kiireim hommikusöök. Vala kaerahelvestele peale kuuma vett, oota 5 minutit - voilá puder!</t>
  </si>
  <si>
    <t xml:space="preserve">A thick layer of dumpling dough covers a tasty filling of potatoes and spinach. The dumplings can be served with a tomato sauce, or pan-fried to add a crispy touch. </t>
  </si>
  <si>
    <t>Create your very own curry adding some sweetness from potatoes and round out the dish with regional spices.</t>
  </si>
  <si>
    <t>Skab din helt egen karry, tilføj noget sødme fra kartoflerne og top retten op med lokale krydseriger.</t>
  </si>
  <si>
    <t>Kreiere dein eigenes Kartoffel-Curry mit der Süße der Kartoffeln und regionalen Gewürzen.</t>
  </si>
  <si>
    <t>Grim x Wasa</t>
  </si>
  <si>
    <t>New try</t>
  </si>
  <si>
    <t>Seaweed pesto from Nordisk Tang is extremely rich in flavor due to the natural amount of umami in seaweed.</t>
  </si>
  <si>
    <t>Soft, crunchy, crispy and juicy! The Pulled Mushrooms with coriander vegan rice, kimchi and cashews in a steamed bao bun offer all in one. The perfect plant-based snack!</t>
  </si>
  <si>
    <t>Soft, knackig, knusprig und saftig! Alles in einem bieten die Pulled Mushrooms mit Koriander-Veganaisse, Kimchi und Cashews im gedämpften Bao Bun. Der perfekte Plant based-Snack!</t>
  </si>
  <si>
    <t>Deliciously saucy pulled portobello mushrooms by Alberte Stengaard.</t>
  </si>
  <si>
    <t>Create a dip based on pumpkin and let our AI help you match the rest of the ingredients.</t>
  </si>
  <si>
    <t>Kreiere einen Dip, der auf Kürbis basiert, und lass dir von der KI dazu passende Zutaten vorschlagen.</t>
  </si>
  <si>
    <t>Warming spices and pumpkin are perfect for fall.</t>
  </si>
  <si>
    <t>Varmende krydderier og græskar er perfekte til efteråret.</t>
  </si>
  <si>
    <t>Create your own dish of pumpkin pasta and let our AI help pair the rest of the ingredients together.</t>
  </si>
  <si>
    <t>Skab din egen ret af græskar pasta og lad vores AI hjælpe med at parre resten af ​​ingredienserne sammen.</t>
  </si>
  <si>
    <t>Kreiere deine eigene Kürbis Pasta und lasse dir von der KI passende Zutaten vorschlagen.</t>
  </si>
  <si>
    <t>Pagatavojiet savu ķirbju nūdeļu maltīti un ļaujiet mūsu programmmai sakombinēt pārējās sastāvdaļas.</t>
  </si>
  <si>
    <t>Valmista enda kõrvitsa pastaroog ning las meie tehisintellekt aitab sind ülejäänud hästi sobivate koostisosade valimisel.</t>
  </si>
  <si>
    <t>Vegetarians can eat steak too! Call it green meat if you like, you can put it in a veggie burger, eat it with a side or just munch on it itself. That's how delicious it is!</t>
  </si>
  <si>
    <t>Vegetarier können auch Steak essen! Du kannst es grünes Fleisch nennen, es in einem Gemüseburger servieren, als Beilage oder einfach so essen. So lecker ist es!</t>
  </si>
  <si>
    <t>Quick breads are made without yeast or sourdough, and uses baking powder for the leavening. It's the perfect recipe for making bread in a hurry – no time spent kneading or rising.</t>
  </si>
  <si>
    <t>Buddha bowls are made of small portions of several foods arranged in an artful way,  including plant proteins and vegetables.</t>
  </si>
  <si>
    <t>Buddha Bowls er lavet af små portioner af forskellige ingredienser, som arrangeres i på kunstneriske måder.</t>
  </si>
  <si>
    <t>Die bunten Schüsseln sind gefüllt mit viel Gemüse, dazu sättigende Kohlenhydrate und eiweißreiche Lebensmittel.</t>
  </si>
  <si>
    <t>Protein rich and flavorful salad</t>
  </si>
  <si>
    <t>Ratatouille is a classic dish from the south of France composed of sliced colorful vegetables arranged baked over a tomato sauce.</t>
  </si>
  <si>
    <t>Ratatouille er en klassisk ret fra Sydfrankrig, baseret på skårede farverige grøntsager, arrangeret og bagt i tomatsauce</t>
  </si>
  <si>
    <t>Ratatouille ist ein klassischer Gemüseeintopf aus der Provence. Als leichtes Sommergericht kann die Ratatouille sowohl warm als auch kalt genossen werden.</t>
  </si>
  <si>
    <t>Create your own rice casserole with the help from our AI to match the rest of the ingredients.</t>
  </si>
  <si>
    <t>Risotto is a traditional Italian rice dish cooked with broth until it reaches a creamy consistency.</t>
  </si>
  <si>
    <t>Risotto er en traditionel italiensk risret som laves med bouillon til den får den cremede konsistens.</t>
  </si>
  <si>
    <t>Risotto ist ein typisch italienisches Gericht auf der Basis von Reis, der in Brühe gegart wird, bis er sämig ist.</t>
  </si>
  <si>
    <t>Risotto ir tradicionālais itāļu rīsu ēdiens, kura pagatavošanā izmantots buljons, līdz tiek iegūta krēmīga konsistence.</t>
  </si>
  <si>
    <t>Risoto on traditsiooniline Itaalia kremine riisiroog, mille valmistamisel kasutatakse puljongit.</t>
  </si>
  <si>
    <t xml:space="preserve">A great healthy risotto ready in 30 minutes using the Thermomix. </t>
  </si>
  <si>
    <t>Enjoy oven roasted root vegetables as the perfect side dish or main course!</t>
  </si>
  <si>
    <t>Nyd ovnstegte rodgrøntsager som den perfekte sideskål eller hovedrett!</t>
  </si>
  <si>
    <t>Genieße ofengeröstetes Wurzelgemüse als perfekte Beilage oder als Hauptgericht!</t>
  </si>
  <si>
    <t>Create a tasty spread out of your favorite vegetables to bring some flavor to your sandwich.</t>
  </si>
  <si>
    <t>Lav en lækker spread med dine yndlings grøntsager for at få smag i din sandwich.</t>
  </si>
  <si>
    <t>Kreiere einen leckeren Aufstrich aus deinem Lieblingsgemüse, um deinem Sandwich mehr Geschmack zu geben.</t>
  </si>
  <si>
    <t>The easy rye bread without sourdough with Agrain® 03 Stout Super Grain Flour</t>
  </si>
  <si>
    <t>Ask a friend or your local bakery for some sourdough starter, or learn to make your own!</t>
  </si>
  <si>
    <t>Create your very own salad, simply pick the base vegetables you'd like to start with and let our AI help you pair the remaining ingredients.</t>
  </si>
  <si>
    <t>Kreiere deinen ganz eigenen Salat: Wähle einfach ein Basisgemüse, mit dem du starten willst, und lass dir von der KI passende Zutaten vorschlagen.</t>
  </si>
  <si>
    <t>Pagatavojiet savus salātus, izvēloties pamata dārzeņus, un ļaujiet mūsu programmai sakombinēt pārējās sastāvdaļas.</t>
  </si>
  <si>
    <t>Valmista päris oma salat valides köögiviljad, millega soovid alustada ning las meie tehisintellekt aitab sind ülejäänud hästi sobivate koostisosade valimisel.</t>
  </si>
  <si>
    <t>Samosas with Agrain 02 IPA Super Grain Flour</t>
  </si>
  <si>
    <t>Create a delicious sauce for your pasta, choose between a white, tomato or pesto base!</t>
  </si>
  <si>
    <t>Lav en lækker sauce til din pasta, vælg mellem en hvid, tomat eller pesto base!</t>
  </si>
  <si>
    <t>Stelle eine köstliche Soße für deine Pasta her. Wähle zwischen einer weißen, Tomaten- oder Pestobasis!</t>
  </si>
  <si>
    <t>This recipe will give new life to stale bread!</t>
  </si>
  <si>
    <t>!</t>
  </si>
  <si>
    <t>A buttery and soft treat to go with your coffee or tea.</t>
  </si>
  <si>
    <t>En smøragtig og blød godbid til at gå med din kaffe eller te.</t>
  </si>
  <si>
    <t>Also known as "Shakshouka," this North African stew is a dish of poached eggs in a tomato based sauce with regional herbs &amp; spices.</t>
  </si>
  <si>
    <t>Også kendt som "Shakshouka", denne nordafrikanske gryderet er en ret med posejerede æg i en tomatbaseret sauce med lokale urter og krydderier.</t>
  </si>
  <si>
    <t>Create your own deep and hearty stew using the ingredients you have right at home. We'll guide you towards deliciousness.</t>
  </si>
  <si>
    <t>Skab din egen gryderet - vores kunstige intelligens hjælper dig på vej.</t>
  </si>
  <si>
    <t>Kreiere deinen eigenen kräftigen und herzhaften Eintopf mit den Zutaten, die du zu Hause hast. Wir zeigen dir, wie's geht.</t>
  </si>
  <si>
    <t>Pagatavojiet garšīgu sautējumu no mājās esošajiem produktiem! Mēs palīdzēsim to padarīt izcilu!</t>
  </si>
  <si>
    <t>Valmista päris oma rikkalik ja täitev hautis kasutades kodusolevaid koostisosi. Me juhendame teid maitserikkuseni.</t>
  </si>
  <si>
    <t>A delicious oven-roasted veggie dish inspired by ingredients from the Sichuan region of China.</t>
  </si>
  <si>
    <t>An authentic Italian pizza with a fiery, spicy twist!</t>
  </si>
  <si>
    <t>Autentisk italiensk pizza, med et hot twist!</t>
  </si>
  <si>
    <t>Eine authentische, italienische Pizza mit einem scharfen Twist!</t>
  </si>
  <si>
    <t>Recipe developed by Jenny Tschiesche BSc(Hons) Dip(ION) FdSc BANT. For more information see www.jennytschiesche.com.</t>
  </si>
  <si>
    <t>A raw shredded salad, pickled in its own dressing. The prep is quick, but there's a wait for tenderizing and pickling.</t>
  </si>
  <si>
    <t>En rå revet salat, der skal sidde et par timer til dressingen siver ind i grøntsagerne.</t>
  </si>
  <si>
    <t>Ein roher, geschreddeter Salat, der in seinem eigenen Dressing eingelegt wird.</t>
  </si>
  <si>
    <t>Start your morning with blended fresh fruit and seasonal vegetables.</t>
  </si>
  <si>
    <t>Smoothies er simple at lave - både med sæson frugt og grøntsager</t>
  </si>
  <si>
    <t>Wenn es schnell gehen soll sind Smoothies am Morgen das perfekte Frühstück – verwende saisonales Obst und Gemüse!</t>
  </si>
  <si>
    <t>Alusta enda hommikut värskelt püreestatud puuviljaga ning hooajaliste köögiviljadega.</t>
  </si>
  <si>
    <t>In just a few minutes you can make a delicious treat to share with your closest ones.</t>
  </si>
  <si>
    <t>You'll need a sourdough starter for this bread, which will help it to rise, and give it a tangy flavor.</t>
  </si>
  <si>
    <t>Du skal bruge surdej til dette brød, som vil hjælpe det til at hæve, og give det en krydret smag.</t>
  </si>
  <si>
    <t>This omelette is a traditional staple dish in Spanish cuisine. Eggs and potatoes form the heart of this omelette, which can be enjoyed both warm or cold.</t>
  </si>
  <si>
    <t>Denne omelet er en traditionel ret i det spanske køkken. Æg og kartofler danner hjertet af denne omelet, som kan nydes både varm eller kold</t>
  </si>
  <si>
    <t>Dieses Omelett ist ein traditionelles Gericht der spanischen Küche. Eier und Kartoffeln bilden die Basis, das sowohl warm als auch kalt genossen werden kann.</t>
  </si>
  <si>
    <t>Which spices go well with...</t>
  </si>
  <si>
    <t>Hvilke krydderier passer godt sammen med...</t>
  </si>
  <si>
    <t>Welche Gewürze passen zusammen mit...</t>
  </si>
  <si>
    <t>Add some flames to any dish you are making with this spicy dressing!</t>
  </si>
  <si>
    <t>Spice en hvilken som helst ret op med denne stærke dressing!</t>
  </si>
  <si>
    <t>Gib' mit diesem scharfen Dressing jedem deiner Gerichte einen Kick!</t>
  </si>
  <si>
    <t>Use this recipe to create a spicy sauce for almost anything! Use it for your dishes anywhere you can imagine using sauce.</t>
  </si>
  <si>
    <t>For the spicy enthusiasts! Add a fiery twist to the classic Teriyaki noodle stir-fry.</t>
  </si>
  <si>
    <t>For den krydrede smag! Tilføj et stærkt twist til den klassiske Teriyaki nudelret.</t>
  </si>
  <si>
    <t>Füge der klassischen Teriyaki-Nudelpfanne eine feurige Note hinzu -für alle, die es gerne scharf mögen!</t>
  </si>
  <si>
    <t>Create your own bok choy stir-fry and let our AI help guide you to pairing the remaining ingredients.</t>
  </si>
  <si>
    <t>Lav din egen lynsteget bok choy ret og lad vores AI hjælpe dig med at parre de resterende ingredienser.</t>
  </si>
  <si>
    <t>Create your very own stir-fry by selecting the base ingredients you want to use and let our AI help you pair the remaining matches.</t>
  </si>
  <si>
    <t>Skab din helt egen wok ved at vælge base ingredienserne du vil bruge og lad vore AI hjælpe dig med at parre de resterende ingredienser.</t>
  </si>
  <si>
    <t>Kreiere deinen eigenen Gemüsewok, indem du deine Basiszutaten auswählst und dir von der KI die restlichen, passenden Zutaten vorschlagen lässt.</t>
  </si>
  <si>
    <t>Pagatavojiet savu sautējumu, izvēloties pamata sastāvdaļas, ļaujiet mūsu programmai sakombinēt pārējās sastāvdaļas.</t>
  </si>
  <si>
    <t>Valmista päris oma vokiroog valides põhikoostisosad, mida soovid kasutada ning las meie tehisintellekt aitab sind ülejäänud koostisosade valimisel.</t>
  </si>
  <si>
    <t>Special gelling sugar for strawberries</t>
  </si>
  <si>
    <t>Gelierzucker speziell für Erdbeeren</t>
  </si>
  <si>
    <t>Butternut squash are the perfect base for a filling with couscous.</t>
  </si>
  <si>
    <t>Hokkaido pumpkins are the perfect base for a delicious vegetarian filling.</t>
  </si>
  <si>
    <t>Portobello Mushrooms make the perfect base for a delicious vegetarian filling.</t>
  </si>
  <si>
    <t>Portobello svampe er den perfekte base til noget lækkert vegetarisk fyld</t>
  </si>
  <si>
    <t>Portobello Pilze sind die perfekte Basis für eine leckere, vegetarische Füllung.</t>
  </si>
  <si>
    <t>Choose a vegetable you'd like to hollow out and use as your vessel for a delicious vegetarian filling.</t>
  </si>
  <si>
    <t>Wähle ein Gemüse, das du aushöhlen und als Gefäß für eine leckere vegetarische Füllung verwenden willst.</t>
  </si>
  <si>
    <t>Vali köögivili, mille soovite seest õõnsaks teha ning kasutage seda 'paadina' maitsva köögiviljatäidise jaoks.</t>
  </si>
  <si>
    <t>Make a refreshing seasonal salad full of fruits to help cool you off through the hot summer months.</t>
  </si>
  <si>
    <t>Lav en frisk salat med masser af frugt i sæson!</t>
  </si>
  <si>
    <t>Kreiere einen erfrischenden, saisonalen und leichten Salat für heiße Sommertage.</t>
  </si>
  <si>
    <t>Pagatavojiet svaigus augļu salātus, kas atsvaidzinās jūs karstajos vasaras mēnešos.</t>
  </si>
  <si>
    <t>Valmista värskendav hooajaline puuvilju täis salat, et end kuumade suvekuude jooksul maha jahutada.</t>
  </si>
  <si>
    <t>A sweet jam with any of your favorite fruits.</t>
  </si>
  <si>
    <t>Create a perfect snack or side dish of sweet potato fries.</t>
  </si>
  <si>
    <t>Create your very own veggie patties with sweet potatoes and let our AI help you pair the rest of the ingredients.</t>
  </si>
  <si>
    <t>Kreiere deine eigenen Bratlinge mit Süßkartoffeln und lasse dir von der KI die restlichen Zutaten vorschlagen.</t>
  </si>
  <si>
    <t>Enjoy a quick and rich umami bok choy dish inspired by the famous sweet and sour sauce.</t>
  </si>
  <si>
    <t>Nyd en hurtig og rig umami bok choy ret indspiret af den kendte sød sur sovs.</t>
  </si>
  <si>
    <t>Genieße ein schnelles Pak Choi gericht reich an Umami, von der berühmten süß-sauer Soße inspiriert.</t>
  </si>
  <si>
    <t>Enjoy a quick and rich umami eggplant dish inspired by the famous Asian sweet and sour sauce.</t>
  </si>
  <si>
    <t>Nyd en hurtig og rig umami aubergine ret inspireret af den velkendte Asiatiske ret sød &amp; sur sovs.</t>
  </si>
  <si>
    <t>Genieße ein schnelles und herzhaftes Umami-Auberginen-Gericht, das von der berühmten asiatischen Süß-Sauer-Soße inspiriert wird.</t>
  </si>
  <si>
    <t>Tabbouleh is a fresh minty Middle Eastern salad and Lebanon's national dish!</t>
  </si>
  <si>
    <t>Tabbouleh er en frisk mellemøstlig salat med mynte. Desuden er det Libanons nationalret!</t>
  </si>
  <si>
    <t>Das beliebte libanesische Gericht Tabouleh eignet sich perfekt als leckere Salat-Alternative, nicht nur im Sommer. Viel Petersilie, duftende Minze und Tomaten bilden die Basis für dieses tolle Rezept.</t>
  </si>
  <si>
    <t>Tabbouleh ir svaigi Vidējo Austrumu salāti - Libānas nacionālais ēdiens.</t>
  </si>
  <si>
    <t>Tabbouleh on värske ja piparmündine Lähis-Ida salat ning Liibanoni rahvustoit!</t>
  </si>
  <si>
    <t>A Tagine is a traditional Moroccan slow-cooked stew made of spiced vegetables and typically topped off with nuts and dried fruits.</t>
  </si>
  <si>
    <t>Tagine er en traditionel marrokansk gryderet, baseret ofte baseret på couscous or bulgur, godt krydret og toppet med rosiner eller tørrede abrikoser</t>
  </si>
  <si>
    <t>Dieses Gericht vereint die ganze Vielfalt Marokkos in einer Tajine - ein Eintopf aus gewürztem Gemüse mit unendlich vielen Aromen und Geschmäckern.</t>
  </si>
  <si>
    <t xml:space="preserve">This is a plant-based recipe and includes some spice/heat. </t>
  </si>
  <si>
    <t>A Thai Curry is a national dish of Thailand which is made from curry paste, coconut milk, and vegetables.</t>
  </si>
  <si>
    <t>Thailands nationalret er Thai karry. Findes i utallige varianter, men bruger altid karry, kokosmælk og sydøstasiatiske grøntsager.</t>
  </si>
  <si>
    <t>Thai Curry ist das Nationalgericht Thailands. Die Basis besteht aus aus Kokosmilch, Currypaste und Gemüse.</t>
  </si>
  <si>
    <t>Taizemes karijs ir Taizemes nacionālais ēdiens, ko pagatavo no karija pastas, kokosriekstu piena un dārzeņiem.</t>
  </si>
  <si>
    <t>Tai Karri on Tai rahvustoit, mis on valmistatud karripastast, kookospiimast ja köögiviljadest.</t>
  </si>
  <si>
    <t>Spicy and rich Thai soup made on stock, coconut milk and lemongrass. Added with finely cutted vegetables and topped with lots of coriander. Lots of herbs and taste.</t>
  </si>
  <si>
    <t>En het rätt inspirerad från Thailand. Går snabbt att laga till och är utsökt att servera med jasminris.</t>
  </si>
  <si>
    <t>These vegan stuffed bell peppers are juicy, rich, packed with taste.</t>
  </si>
  <si>
    <t>Diese veganen gefüllten Paprika sind saftig, füllend und voller Aromen.</t>
  </si>
  <si>
    <t>Create your own broccoli cream soup and let our AI help you match ingredients.</t>
  </si>
  <si>
    <t>Skab din egen broccoli creme suppe og lad vores AI hjælpe dig med at parre ingredienserne.</t>
  </si>
  <si>
    <t>Kreiere deine eigene Brokkoli-Creme-Suppe und lass dir von der KI passende Zutaten vorschlagen.</t>
  </si>
  <si>
    <t>This hearty Mexican soup is created on the base of tomato paste and stock combined with regional vegetables and garnished with crunchy tortilla chips.</t>
  </si>
  <si>
    <t>Denne mættende mexikanske suppe er skabt på en base af tomater, kombineret med regionale grøntsager og toppet med knasende tortilla stykker</t>
  </si>
  <si>
    <t>Diese herzhafte mexikanische Suppe basiert auf Tomaten und regionalem Gemüse und wird mit knusprigen Tortilla-Streifen garniert.</t>
  </si>
  <si>
    <t>Tikka Masala is an Indian stew based on a creamy tomato sauce seasoned with various spices from the Indian subcontinent.</t>
  </si>
  <si>
    <t>Tikka Masala er en Indisk gryderet baseret på en kremet tomat sauce, krydret med et væld af Indiske krydderier</t>
  </si>
  <si>
    <t>Tikka Masala ist ein indischer Eintopf, der auf einer cremigen Tomatensauce basiert und mit verschiedenen Gewürzen des indischen Subkontinents gewürzt wird.</t>
  </si>
  <si>
    <t>The longer you let your tiramisu set, the better the flavor will infuse and develop!</t>
  </si>
  <si>
    <t>Jo længere du lader din tiramisu sidde, jo bedre smag vil infusere og udvikle!</t>
  </si>
  <si>
    <t>Freshly baked toast bread is a great way to start your morning. From sweet to savory toppings - let your imagination fly!</t>
  </si>
  <si>
    <t>Create your very own artful Buddha Bowl with tofu, we'll help you match the rest of the ingredients.</t>
  </si>
  <si>
    <t>Add a bunch of tropical fruits to this 5 minute porridge breakfast option.</t>
  </si>
  <si>
    <t>Tilføj en masser af tropiske frugter til denne 5 minutters morgenmads ret.</t>
  </si>
  <si>
    <t>Dieser tropische 5 Minuten Haferbrei ist fruchtig und süß zugleich und gibt einem den richtigen Kick am Morgen!</t>
  </si>
  <si>
    <t>Create your very own savory sauce to use for almost anything! Give a deep umami flavor to your dishes anywhere you imagine using sauce.</t>
  </si>
  <si>
    <t>Skab din helt egen smagfulde sovs, som du kan bruge til næsten alt! Giv en dyb umami-smag til dine retter, uanset hvilken ret du forstiller dig at bruge sovsen til.</t>
  </si>
  <si>
    <t>Cashews are your new cream cheese!</t>
  </si>
  <si>
    <t>Cashewnødder er din nye flødeost!</t>
  </si>
  <si>
    <t>Im Ofen gebackenes Gemüse mit Sauce</t>
  </si>
  <si>
    <t>Use Reduced Seaweed Stock in this recipe.</t>
  </si>
  <si>
    <t>Muffin without dairy, eggs, or butter</t>
  </si>
  <si>
    <t>Muffin uden mælkeprodukter, æg eller smør</t>
  </si>
  <si>
    <t>Muffin ohne Kuhmilch, Ei und Butter</t>
  </si>
  <si>
    <t>Muffin without cow's milk, egg, or butter</t>
  </si>
  <si>
    <t>Muffin uden komælk, æg og smør</t>
  </si>
  <si>
    <t>Muffins ohne Kuhmilch, Ei und Butter - vegetarisch oder sogar vegan</t>
  </si>
  <si>
    <t>Swirls that are crispy on the outside and soft on the inside, flavored with a tasty pesto. The swirls are suitable as an accompaniment for dinner or as a snack.</t>
  </si>
  <si>
    <t>Create your very own vegan smoothie and let our AI help match the rest of the ingredients.</t>
  </si>
  <si>
    <t>Skab din helt egen vegansk smoothie og lad vores AI hjælpe dig med at parre resten af ingredienser.</t>
  </si>
  <si>
    <t>Kreiere deinen eigenen Vegansk Smoothie und lass dir von der KI die restlichen, passenden Zutaten vorschlagen.</t>
  </si>
  <si>
    <t>A classic dessert turned vegan!</t>
  </si>
  <si>
    <t>En klassisk dessert lavet vegansk!</t>
  </si>
  <si>
    <t>Create your very own Vietnamese style stir-fry with regional ingredients and let our AI you pair ingredients.</t>
  </si>
  <si>
    <t>Skab din egen lynsteget Vietnamesisk ret med lokale ingredienser og lad vores AI hjælpe dig med at parre ingredienserne.</t>
  </si>
  <si>
    <t>Valmista enda Vietnami stiilis Vokiroog kohalike koostisosadega ning las meie tehisintellekt aitab sind ülejäänud koostisosade valimisel.</t>
  </si>
  <si>
    <t>Create your own buckwheat salad with oven roasted vegetables.</t>
  </si>
  <si>
    <t>Kreiere deinen eigenen Buchweizen Salat mit ofengeröstetem Gemüse.</t>
  </si>
  <si>
    <t>A roasted vegetable salad created with authentic Middle Eastern ingredients.</t>
  </si>
  <si>
    <t>Lad ovnen skrue helt op for aromaerne i denne Mellemøstlige salat</t>
  </si>
  <si>
    <t>Ein Gemüsesalat aus dem Ofen mit authentischen Zutaten aus dem nahen Osten.</t>
  </si>
  <si>
    <t>A quick, simple sweet potato curry with peas and rice. Aromatic, fresh and delicious!</t>
  </si>
  <si>
    <t>Ein schnelles, einfaches Süßkartoffelcurry mit Erbsen und Reis. Würzig, frisch und lecker!</t>
  </si>
  <si>
    <t>Create your own dish of zucchini pasta and let our AI help pair the rest of the ingredients together.</t>
  </si>
  <si>
    <t>Skab din egen ret af squash pasta og lad vores  AI hjælpe dig med at par resten af ingredienserne sammen.</t>
  </si>
  <si>
    <t>Kreiere dein eigenes Zucchini Pasta Gericht und lass dir von der KI passende Zutaten vorschlagen.</t>
  </si>
  <si>
    <t>Pagatavojiet savu cukīnī nūdeļu maltīti un ļaujiet mūsu programmmai sakombinēt pārējās sastāvdaļas.</t>
  </si>
  <si>
    <t>Valmista enda suvikõrvitsa pastaroog ning las meie tehisintellekt aitab sind ülejäänud hästi sobivate koostisosade valimisel.</t>
  </si>
  <si>
    <t>Create your very own veggie patties with zucchini and let our AI help you pair the rest of the ingredients.</t>
  </si>
  <si>
    <t>Kreiere deine eigenen Bratlinge mit Zucchini und lasse dir von der KI die restlichen Zutaten vorschlagen.</t>
  </si>
  <si>
    <t>lt</t>
  </si>
  <si>
    <t>es</t>
  </si>
  <si>
    <t>Type</t>
  </si>
  <si>
    <t>New guide</t>
  </si>
  <si>
    <t>New text</t>
  </si>
  <si>
    <t>Sofrito</t>
  </si>
  <si>
    <t>Fry</t>
  </si>
  <si>
    <t>Dressing</t>
  </si>
  <si>
    <t>Roast</t>
  </si>
  <si>
    <t>Taste</t>
  </si>
  <si>
    <t>Mix your veggies with onions, spices, salt, and oil. Roast at 180 degrees until desired color and texture.</t>
  </si>
  <si>
    <t>Balance</t>
  </si>
  <si>
    <t>Mix</t>
  </si>
  <si>
    <t>Mix if grains</t>
  </si>
  <si>
    <t>With noodles/grains</t>
  </si>
  <si>
    <t>Mix if pasta</t>
  </si>
  <si>
    <t>Add 1/2 cup of the pasta water to the frying pan for a creamier consistency. Mix all your ingredients with your boiled pasta.</t>
  </si>
  <si>
    <t>Add veggies to the pan.</t>
  </si>
  <si>
    <t>Mix all your ingredients with your boiled grains/noodles.</t>
  </si>
  <si>
    <t>Modules</t>
  </si>
  <si>
    <t>Resulting notes</t>
  </si>
  <si>
    <t>Creamy soup</t>
  </si>
  <si>
    <t>Chunky soup</t>
  </si>
  <si>
    <t>Burger pattys</t>
  </si>
  <si>
    <t>Oven roast</t>
  </si>
  <si>
    <t>Mousakka</t>
  </si>
  <si>
    <t>Burito</t>
  </si>
  <si>
    <t>Broccoli/cauliflower rice</t>
  </si>
  <si>
    <t>Fried rice</t>
  </si>
  <si>
    <t>Polenta</t>
  </si>
  <si>
    <t>Loaded potato</t>
  </si>
  <si>
    <t>Pilaf</t>
  </si>
  <si>
    <t>Summer rolls</t>
  </si>
  <si>
    <t>Trick</t>
  </si>
  <si>
    <t>Add and evaporate a splash of alcohol among the spices to accentuate the aromas.</t>
  </si>
  <si>
    <t>Once all your ingredients are cooked and ready to eat, mix them.</t>
  </si>
  <si>
    <t>Finish</t>
  </si>
  <si>
    <t>Add toppings and enjoy!</t>
  </si>
  <si>
    <t>Raw</t>
  </si>
  <si>
    <t>Wash, cut and mix your base ingredients.</t>
  </si>
  <si>
    <t>Mix in your dressing: Oil, sour ingredients, salt, and sugar.</t>
  </si>
  <si>
    <t>Too sour? Add salt and sugar. Too spicy? Add oil and sugar. Too Salty? Add bitter ingredients or fresh herbs.</t>
  </si>
  <si>
    <t>Add risotto rice to the pan and then slowly add water or stock while stirring.</t>
  </si>
  <si>
    <t>Other heating</t>
  </si>
  <si>
    <t>Cook your other ingredients on the side.</t>
  </si>
  <si>
    <t>Soup blending</t>
  </si>
  <si>
    <t>Stock</t>
  </si>
  <si>
    <t>Add water with stock/broth.</t>
  </si>
  <si>
    <t>Add a splash of oil, then blend into your desired consistency.</t>
  </si>
  <si>
    <t>Add lentils to the pan, and then slowly add water or stock while stirring.</t>
  </si>
  <si>
    <t>Before toppings, taste and balance your dish by adding salt, sugar, sour, or umami ingredients for increased flavor.</t>
  </si>
  <si>
    <t>Cut your bread in small cubes, mix with oil, salt and pepper and bake in the oven for 10-15 minutes.</t>
  </si>
  <si>
    <t>Rice</t>
  </si>
  <si>
    <t>Boil your rice and let them cool.</t>
  </si>
  <si>
    <t>Fry your onions and spices with a bit of oil. Add your condiments.</t>
  </si>
  <si>
    <t>Crack the eggs into a bowl and whisk well with salt and pepper, before adding to the pan.</t>
  </si>
  <si>
    <t>Omelette1</t>
  </si>
  <si>
    <t>Omelette2</t>
  </si>
  <si>
    <t>Run a spatula through the middle of the omelette and tilt the pan to fill up with the runny egg. Omelette is done when there's no more runny egg.</t>
  </si>
  <si>
    <t>Dish specific texts</t>
  </si>
  <si>
    <t>Tacos2</t>
  </si>
  <si>
    <t>Add your ingredients and toppings to your taco. Enjoy!</t>
  </si>
  <si>
    <t>Place the rice paper in warm water until softened; then lift out and add your ingredients and toppings before closing. Enjoy!</t>
  </si>
  <si>
    <t>Shorter version</t>
  </si>
  <si>
    <t>Add lentils, then water with stock.</t>
  </si>
  <si>
    <t>Whisk eggs well with salt, then add to pan.</t>
  </si>
  <si>
    <t>Omelette is done when egg isn't runny.</t>
  </si>
  <si>
    <t>Add a splash of alcohol to accentuate aromas</t>
  </si>
  <si>
    <t>Add oil, sours, salt, and sugar.</t>
  </si>
  <si>
    <t>Blend the soup.</t>
  </si>
  <si>
    <t>Add all to the tacos. Enjoy!</t>
  </si>
  <si>
    <t>Soften rice paper in warm water, then fill with your ingredients. Enjoy!</t>
  </si>
  <si>
    <t>Shortcut recipe: Fry onions and spices on a pan.</t>
  </si>
  <si>
    <t>Add rice with a little wine, then add stock and boiling water gradually.</t>
  </si>
  <si>
    <t>Add veggies.</t>
  </si>
  <si>
    <t>Mix with cooked grains/noodles.</t>
  </si>
  <si>
    <t>Taste and balance with salt, sugar, sour, and umami.</t>
  </si>
  <si>
    <t>Mix with cooked pasta, including a cup of the pasta water (for creamy consistency).</t>
  </si>
  <si>
    <t>Shortcut recipe: 50% is bread. Cut bread in cubes, drizzle with oil and salt, and then bake in oven. Cook and add your other ingredients</t>
  </si>
  <si>
    <t>Shortcut recipe: Roast veggies with onion, spices, salt, and oil in the oven.</t>
  </si>
  <si>
    <t>Add the beets</t>
  </si>
  <si>
    <t>Shortcut recipe: Boil rice then let them cool.</t>
  </si>
  <si>
    <t>Fried rice 1</t>
  </si>
  <si>
    <t>Add an umami sauce, sugar, and cold rice that was cooked the day before, and fry for a few more minutes.</t>
  </si>
  <si>
    <t>Shortcut recipe: Make your suco of fried onions, spices, and your choice of paste. Add to pizza with your choice of veggies.</t>
  </si>
  <si>
    <t>Add rice and toast them briefly. Then add water (with stock) to boil as usual.</t>
  </si>
  <si>
    <t>Shortcut recipe: Bake whole potato for up to an hour in oven, scoop out half the inside, and add your filling</t>
  </si>
  <si>
    <t>Add your veggies and condiments.</t>
  </si>
  <si>
    <t>Add</t>
  </si>
  <si>
    <t>Shortcut recipe: Whisk polenta into boiling water (with stock) bit-by-bit.</t>
  </si>
  <si>
    <t>Wraps 1</t>
  </si>
  <si>
    <t>Wraps 2</t>
  </si>
  <si>
    <t>Add all to the 'tacos'. Enjoy!</t>
  </si>
  <si>
    <t>Add all in the burritos. Enjoy</t>
  </si>
  <si>
    <t>Pluck the leaves off your cabbage/lettuce, to be used as 'tacos'.</t>
  </si>
  <si>
    <t>Shortcut recipe: Add boiling water to oats with a bit of salt. Wait 5 minutes. Then add your condiments</t>
  </si>
  <si>
    <t>Add rice and boiling water with stock, let simmer.</t>
  </si>
  <si>
    <t>Shortcut recipe: Grate or use your food processor to make it into 'rice'. Add your spices and condiments.</t>
  </si>
  <si>
    <t>Shortcut recipe: Add veggies with bread to a blender and pulse to the desired texture. Cool it down in fridge.</t>
  </si>
  <si>
    <t>Shortcut recipe: Mash your veggie with a blender or fork, mixing in some oil or butter for creaminess.</t>
  </si>
  <si>
    <t>Shortcut recipe: Put a layer of cooked grains on-top of your sauce. Bake in the oven for 30+ minutes (180 degrees)</t>
  </si>
  <si>
    <t>Shortcut recipe: Alternate between layers of pasta and sauce. Bake in the oven for 30+ minutes (180 degrees).</t>
  </si>
  <si>
    <t>Shortcut recipe: Alternate between layers of thin-sliced veggies and sauce. Bake in the oven for 30+ minutes (180 degrees).</t>
  </si>
  <si>
    <t>Shortcut recipe: Add your ingredients into a pie crust, then pour a whisked egg mixture on top. Bake for 30+ minutes (180 degrees).</t>
  </si>
  <si>
    <t>Shortcut recipe: Mash ingredients with a fork or a blender. Shape patties in your hands and fry them on a pan with oil (5 minutes on each side).</t>
  </si>
  <si>
    <t>Shortcut recipe: Cook then mash with a blender or fork.</t>
  </si>
  <si>
    <t>Wraps</t>
  </si>
  <si>
    <t>Group</t>
  </si>
  <si>
    <t>Stir-fry</t>
  </si>
  <si>
    <t>Marinade</t>
  </si>
  <si>
    <t>Muffin</t>
  </si>
  <si>
    <t>Shortcut recipe: Cut and mix ingredients. Mash with fork.</t>
  </si>
  <si>
    <t>Soup</t>
  </si>
  <si>
    <t>Pasta salad</t>
  </si>
  <si>
    <t>Buddha bowl</t>
  </si>
  <si>
    <t>Sandwich</t>
  </si>
  <si>
    <t>Energy balls</t>
  </si>
  <si>
    <t>Cookies</t>
  </si>
  <si>
    <t>Sweet muffin</t>
  </si>
  <si>
    <t>cookies</t>
  </si>
  <si>
    <t>Rosti</t>
  </si>
  <si>
    <t>Stuffed veggie</t>
  </si>
  <si>
    <t>Stuffed Veggie</t>
  </si>
  <si>
    <t>chunky soup</t>
  </si>
  <si>
    <t>Vegetable patties</t>
  </si>
  <si>
    <t>Banana bread</t>
  </si>
  <si>
    <t>Overnight oats</t>
  </si>
  <si>
    <t>New proposal</t>
  </si>
  <si>
    <t>Shortcut recipe: Grate ingredients and mix them with salt, flour, and eggs. Shape patties in your hands and fry them on a pan with oil (5 minutes on each side).</t>
  </si>
  <si>
    <t>Shortcut recipe: Mix ingredients and stir around with a fork.</t>
  </si>
  <si>
    <t>Shortcut recipe: You can both fry the veggies with onions and spices in the oven (25 minutes, 180 degrees) or the frying pan (15 minutes)</t>
  </si>
  <si>
    <t>Shortcut recipe: Gently mix the wet ingredients into the dry. Bake in oven until a toothpick comes out clean when pricking them (about 30 minutes)</t>
  </si>
  <si>
    <t>Mix with cooked pasta.</t>
  </si>
  <si>
    <t>Shortcut recipe: Cut and mix all ingredients.</t>
  </si>
  <si>
    <t>Add barley with a little wine, then add stock and boiling water gradually.</t>
  </si>
  <si>
    <t>Shortcut recipe: Mash ingredients into a hummus with a fork or a blender. Shape patties in your hands and fry them on a pan with oil (5 minutes on each side).</t>
  </si>
  <si>
    <t>Shortcut recipe: Mix cooked chickpeas with rest of ingredients. Mash with a blender or fork, and add salt and lemon to taste.</t>
  </si>
  <si>
    <t>This dish should be a little fresh and sour.</t>
  </si>
  <si>
    <t>Use your large spoon to make small wells in the sauce and crack the eggs into each well. Cover the pan and cook for 5-8 minutes.</t>
  </si>
  <si>
    <t>Put all veggies and condiments into the veggie and roast it all in the oven for 20-30 minutes or until tender.</t>
  </si>
  <si>
    <t>Shortcut recipe: Mix and blend all ingredients. Store it in the fridge up to 3 days. Serve the smoothie cold.</t>
  </si>
  <si>
    <t>Shortcut recipe: Add fillings to your tortilla and fold over. Heat a bit of oil in your pan and cook the quesadilla for 2-3min per side until golden brown.</t>
  </si>
  <si>
    <t>Shortcut recipe: Beat in the wet ingredients into the dry until no flour pockets remain. Do not overmix. Bake for 60 minutes (180 degrees)</t>
  </si>
  <si>
    <t>Shortcut recipe: knead in the wet ingredients into the dry until no flour pockets remain. Raise for 5 hours and bake for 1 hour (180 degrees).</t>
  </si>
  <si>
    <t>Shortcut recipe: Mash until reaches a cookie dough-like consistency. Add a little more wet or dry ingredients if needed to get the right texture. Form into balls and enjoy!</t>
  </si>
  <si>
    <t>Shortcut recipe: Mix ingredients gently in a bowl. Heat a pan with oil or butter. Add in thin layers. 2 minutes per side.</t>
  </si>
  <si>
    <t>Shortcut recipe: Bake crust for 10 minutes, then add 'cheese' in the springform, and bake for another 45 minutes. Put in fridge overnight.</t>
  </si>
  <si>
    <t>Shortcut recipe: Drop spoonfuls of dough onto a baking sheet, evenly spaced out. Bake for 10 minutes at 160°C. The cookies will still be soft, but will firm up during cooling.</t>
  </si>
  <si>
    <t>Shortcut recipe: Leave oats in liquids over night in the fridge (at least 3 hours). You can still gently heat it next day if you prefer it warm.</t>
  </si>
  <si>
    <t>Shortcut recipe: Cook and arrange ingredients seperately in the bowl for a beautiful impression.</t>
  </si>
  <si>
    <t>Shortcut recipe: Prepare your ingredients seperately and add as layers on the bread.</t>
  </si>
  <si>
    <t>Shortcut recipe: Fold the dry ingredients gently into the wet ingredients. Bake at 180°C until a toothpick inserted in the middle comes out clean (about 40 minutes).</t>
  </si>
  <si>
    <t>creamy Soup</t>
  </si>
  <si>
    <t>Da</t>
  </si>
  <si>
    <t>Shortcut opskrift: Steg løg og krydderier på panden.</t>
  </si>
  <si>
    <t>Tilføj en smule alkohol for at vække aromaerne.</t>
  </si>
  <si>
    <t>Tilføj dine grøntsager og saucer.</t>
  </si>
  <si>
    <t>Shortcut opskrift: Kog ris og lad dem køle.</t>
  </si>
  <si>
    <t>Tilføj ris med en smule vin. Tilføj kogende vand med buillon gradvist.</t>
  </si>
  <si>
    <t>Tilføj grøntsager</t>
  </si>
  <si>
    <t>Shortcut opskrift: Læg grøntsagerne i ovnen med løg, krydderier, salt og olie.</t>
  </si>
  <si>
    <t>Shortcut opskrift: Skær og bland alle ingredienser.</t>
  </si>
  <si>
    <t>Tilføj linser, dernæst vand med buillon.</t>
  </si>
  <si>
    <t>Shortcut opskrift: 50% er brød. Skær brøddet i kvadrater, tilføj olie og salt og bag i ovnen. Tilføj til de andre ingredienser.</t>
  </si>
  <si>
    <t>Bland æg grundigt med salt og andre smags-ingredienser. Tilføj så til panden.</t>
  </si>
  <si>
    <t>Omeletten er klar, når ægget ikke løber længere.</t>
  </si>
  <si>
    <t>Smag til med olie, syre, salt og sukker.</t>
  </si>
  <si>
    <t>Til føj vand med buillon.</t>
  </si>
  <si>
    <t>Blend suppen.</t>
  </si>
  <si>
    <t>Bland med kogte nudler/bælgfrugter/korn.</t>
  </si>
  <si>
    <t>Ibland den kogte pasta med en kop pasta vand.</t>
  </si>
  <si>
    <t>Smag til med salt, sukker, syre og umami.</t>
  </si>
  <si>
    <t>Tilføj alt i dine tacos.</t>
  </si>
  <si>
    <t>Blødgør rispapiret i varmt vand, fyld så med dine ingredienser.</t>
  </si>
  <si>
    <t>Tilføj rødbederne.</t>
  </si>
  <si>
    <t>Tilføj en umami sauce, sukker, og kold ris fra dagen før. Steg i et par minutter</t>
  </si>
  <si>
    <t>Shortcut opskrift: Smør din pizza sauce i tyndt lag (lavet af løg, krydderier og din sauce stegt på en pande). Tilføj dine grøntsager på toppen.</t>
  </si>
  <si>
    <t>Tilføj ris og rist dem kort. Tilføj vand med buillon og kog risene.</t>
  </si>
  <si>
    <t>Shortcut opskrift: Bag den hele kartoffel i op til en time i ovnen. Grav halvdelen af indmaden ud og tilføj din filling.</t>
  </si>
  <si>
    <t>Tilføj ris og kogt vand med buillon og lad simre.</t>
  </si>
  <si>
    <t>Shortcut opskrift: Riv eller brug food processeren til at lave 'ris' af din grøntsag. Tilføj dine andre ingredienser.</t>
  </si>
  <si>
    <t>Shortcut opskrift: Tilføj grøntsager med brød i blenderen og glend til din ønskede tekstur. Lad hvile i køleren i mindst en halv time.</t>
  </si>
  <si>
    <t>Pluk bladene forsigtigt af dine kål/salat for at bruge dem som 'tacos'.</t>
  </si>
  <si>
    <t>Tilføj i din 'tacos'.</t>
  </si>
  <si>
    <t>Tilføj alt i dine burritos.</t>
  </si>
  <si>
    <t>Shortcut opskrift: Blend dine grøntsager med lidt smør/olie med en gaffel eller en blender.</t>
  </si>
  <si>
    <t>Shortcut opskrift: Skift mellem lag a tyndt skårne grøntsager og din sovs. Bag i ovnen i +30 minutter ved 180 grader.</t>
  </si>
  <si>
    <t>Shortcut opskrift: Skift mellem lag a pasta og din sovs. Bag i ovnen i +30 minutter ved 180 grader.</t>
  </si>
  <si>
    <t>Shortcut opskrift: Put et lag af dine kogte korn på toppen. Bag i ovnen i +30 minutter ved 180 grader.</t>
  </si>
  <si>
    <t>Shortcut opskrift: Tilføj dine ingredineser i din tærtedej. Hæld et rørt æg ind i blandingen. Bag i ovnen i +30 minutter ved 180 grader.</t>
  </si>
  <si>
    <t>Shortcut opskrift: Blend ingredienser med en gaffel eller blender. Form bøfferne i dine hænder og steg dem (5-10 minutter per side).</t>
  </si>
  <si>
    <t>Shortcut opskrift: Tilføj kogende vand og en smule salt - vent 5 minutter… vupti!</t>
  </si>
  <si>
    <t>Shortcut opskrift: Kog og blend derefter med en gaffel eller blender.</t>
  </si>
  <si>
    <t>Shortcut opskrift: Skær og bland ingredienser. Blend med en gaffel eller blender.</t>
  </si>
  <si>
    <t>Shortcut opskrift: Riv ingredienser og bland med salt, mel og æg. Form bøfferne i dine hænder og steg dem (5 minutter per side).</t>
  </si>
  <si>
    <t>Shortcut opskrift: Ælt de våde ingredienser indi ide tørre, indtil der ikke er mel-lommer. Hæv i mindst 5 timer, bag i ovnen i en time (180 grader).</t>
  </si>
  <si>
    <t>Shortcut opskrift: Bland ingredienser og rør rundt med en gaffel.</t>
  </si>
  <si>
    <t>Shortcut opskrift: Du kan både stege ingredienserne (15 minutter) eller bage dem i ovnen (25 minutter).</t>
  </si>
  <si>
    <t>Bland med kogt pasta.</t>
  </si>
  <si>
    <t>Shortcut opskrift: Kog og arranger ingredienser adskilt og malerisk i en skål.</t>
  </si>
  <si>
    <t>Shortcut opskrift: Forbered dine ingredienser sperat og put på brøddet i lag.</t>
  </si>
  <si>
    <t>Shortcut opskrift: Ælt de våde ingredienser indi i de tørre nænsomt. Bag i ovnen indtil en tandstik kan komme ud af dem uden dej sidder fast.</t>
  </si>
  <si>
    <t>Shortcut opskrift: Fold de tørre ingredienser ind i de våde. Bag i ovnen indtil en tandstik kan komme ud af dem uden dej sidder fast (ca 40 minutter).</t>
  </si>
  <si>
    <t>Shortcut opskrift: Ælt indtil konsistensen minder om kagedej. Form indtil kugler.</t>
  </si>
  <si>
    <t>Shortcut opskrift: Bag dejen i 10 minutter, tilføj derefter ost i springformen og bag i yderligere 45 mintter. Put i køleren over natten.</t>
  </si>
  <si>
    <t>Shortcut opskrift: Drop skefulde dej på et bagepapir fordelt ligeligt. Bag ved 160 grader i 10 mintter. De vil være bløde først men fastere, når de køler ned.</t>
  </si>
  <si>
    <t>Tilføj byg med en smule vin. Tilføj så buillon og vand langsomt.</t>
  </si>
  <si>
    <t>Shortcut opskrift: Bland ingredienserne nænsomt i en skål. Varn en pande med olie/smør og tilføj dejen i små lag. 2 minutter per side.</t>
  </si>
  <si>
    <t>Shortcut opskrift. Blend ingredienserne til hummus med en ske eller blender. Form bøfferne i hænderne og steg i olie ca 5 minutter per side.</t>
  </si>
  <si>
    <t>Shortcut opskrift: Bland kogte kikærter med resten af ingredienserne. Blend med en gaffel eller blender. Smag til med citron og salt.</t>
  </si>
  <si>
    <t>Brug en stor ske til at lave små kanaler i suacen og hæld æggene deri. Put låg på og kog i 5-10 minutter.</t>
  </si>
  <si>
    <t>Put all grøntsager og krydderier ind i beholderen og bag i ovnen i 20-30 minutter.</t>
  </si>
  <si>
    <t>Retten skal være en smule frisk og syrlig.</t>
  </si>
  <si>
    <t>Shortcut opskrift: Bland og blend alle ingredienser. Opbevar i køleren op til 3 dage.</t>
  </si>
  <si>
    <t>Shortcut opskrift: Tilføj ingredienser til tortilla og fold dem. Varm en smule olie på en pande og steg quesadillas 2-3 minutter per side.</t>
  </si>
  <si>
    <t>Shortcut opskrift: Slå de våde ingredienser indi de tørre indtil der ikke er flere 'mel-lommer' i dejen. Bag i ca 60 minutter (180 grader).</t>
  </si>
  <si>
    <t>Shortcut opskrift: Læg havren i blød over natten i køleren. Du kan stadig varme grøden næste morgen, hvis du foretrækker den varm.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</si>
</sst>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u/>
      <sz val="12"/>
      <color theme="1"/>
      <name val="Calibri"/>
      <family val="2"/>
      <scheme val="minor"/>
    </font>
    <font>
      <b/>
      <sz val="12"/>
      <color theme="1"/>
      <name val="Calibri"/>
      <family val="2"/>
      <scheme val="minor"/>
    </font>
    <font>
      <b/>
      <sz val="18"/>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0" fillId="0" borderId="0" xfId="0" applyFont="1"/>
    <xf numFmtId="0" fontId="0" fillId="0" borderId="0" xfId="0" applyFont="1"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chaelhaase/Desktop/PlantJammer/Models/Personalization/DishMask_Cre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
      <sheetName val="ManipulationPage"/>
      <sheetName val="Sheet1"/>
      <sheetName val="DishMasks"/>
      <sheetName val="Lookup_DishMasks"/>
      <sheetName val="Lookup_DishTags"/>
      <sheetName val="Lookup_dishes"/>
    </sheetNames>
    <sheetDataSet>
      <sheetData sheetId="0"/>
      <sheetData sheetId="1">
        <row r="3">
          <cell r="A3">
            <v>988</v>
          </cell>
          <cell r="B3" t="str">
            <v>Asian Salad</v>
          </cell>
          <cell r="C3">
            <v>0.5</v>
          </cell>
          <cell r="D3" t="str">
            <v>Asia</v>
          </cell>
        </row>
        <row r="4">
          <cell r="A4">
            <v>552</v>
          </cell>
          <cell r="B4" t="str">
            <v>Kimchi Sandwich</v>
          </cell>
          <cell r="C4">
            <v>-1.1000000000000001</v>
          </cell>
          <cell r="D4" t="str">
            <v>Asia</v>
          </cell>
        </row>
        <row r="5">
          <cell r="A5">
            <v>1012</v>
          </cell>
          <cell r="B5" t="str">
            <v>Korean Kimchi Stew</v>
          </cell>
          <cell r="C5">
            <v>-1.1000000000000001</v>
          </cell>
          <cell r="D5" t="str">
            <v>Asia</v>
          </cell>
        </row>
        <row r="6">
          <cell r="A6">
            <v>56</v>
          </cell>
          <cell r="B6" t="str">
            <v>Miso Soup</v>
          </cell>
          <cell r="C6">
            <v>0.5</v>
          </cell>
          <cell r="D6" t="str">
            <v>Asia</v>
          </cell>
        </row>
        <row r="7">
          <cell r="A7">
            <v>1059</v>
          </cell>
          <cell r="B7" t="str">
            <v>Ramen</v>
          </cell>
          <cell r="D7" t="str">
            <v>Asia</v>
          </cell>
        </row>
        <row r="8">
          <cell r="A8">
            <v>967</v>
          </cell>
          <cell r="B8" t="str">
            <v>Sichuan Stir-Fry</v>
          </cell>
          <cell r="C8">
            <v>0.5</v>
          </cell>
          <cell r="D8" t="str">
            <v>Asia</v>
          </cell>
        </row>
        <row r="9">
          <cell r="A9">
            <v>969</v>
          </cell>
          <cell r="B9" t="str">
            <v>Tofu Stir-Fry</v>
          </cell>
          <cell r="D9" t="str">
            <v>Asia</v>
          </cell>
        </row>
        <row r="10">
          <cell r="A10">
            <v>101</v>
          </cell>
          <cell r="B10" t="str">
            <v>Asian Marinade</v>
          </cell>
          <cell r="D10" t="str">
            <v>Asia</v>
          </cell>
        </row>
        <row r="11">
          <cell r="A11">
            <v>1094</v>
          </cell>
          <cell r="B11" t="str">
            <v>Asian Marinade</v>
          </cell>
          <cell r="D11" t="str">
            <v>Asia</v>
          </cell>
        </row>
        <row r="12">
          <cell r="A12">
            <v>3</v>
          </cell>
          <cell r="B12" t="str">
            <v>Chow Mein</v>
          </cell>
          <cell r="C12">
            <v>-1.1000000000000001</v>
          </cell>
          <cell r="D12" t="str">
            <v>Asia</v>
          </cell>
        </row>
        <row r="13">
          <cell r="A13">
            <v>361</v>
          </cell>
          <cell r="B13" t="str">
            <v>Congee</v>
          </cell>
          <cell r="C13">
            <v>-1.1000000000000001</v>
          </cell>
          <cell r="D13" t="str">
            <v>Asia</v>
          </cell>
        </row>
        <row r="14">
          <cell r="A14">
            <v>31</v>
          </cell>
          <cell r="B14" t="str">
            <v>Japanese Omelette</v>
          </cell>
          <cell r="C14">
            <v>0.5</v>
          </cell>
          <cell r="D14" t="str">
            <v>Asia</v>
          </cell>
        </row>
        <row r="15">
          <cell r="A15">
            <v>930</v>
          </cell>
          <cell r="B15" t="str">
            <v>Japanese Pasta</v>
          </cell>
          <cell r="C15">
            <v>0.5</v>
          </cell>
          <cell r="D15" t="str">
            <v>Asia</v>
          </cell>
        </row>
        <row r="16">
          <cell r="A16">
            <v>931</v>
          </cell>
          <cell r="B16" t="str">
            <v>Korean Pasta</v>
          </cell>
          <cell r="C16">
            <v>0.5</v>
          </cell>
          <cell r="D16" t="str">
            <v>Asia</v>
          </cell>
        </row>
        <row r="17">
          <cell r="A17">
            <v>61</v>
          </cell>
          <cell r="B17" t="str">
            <v>Korean Style Pizza</v>
          </cell>
          <cell r="C17">
            <v>-1.1000000000000001</v>
          </cell>
          <cell r="D17" t="str">
            <v>Asia</v>
          </cell>
        </row>
        <row r="18">
          <cell r="A18">
            <v>258</v>
          </cell>
          <cell r="B18" t="str">
            <v>Pad Thai</v>
          </cell>
          <cell r="C18">
            <v>-1.1000000000000001</v>
          </cell>
          <cell r="D18" t="str">
            <v>Asia</v>
          </cell>
        </row>
        <row r="19">
          <cell r="A19">
            <v>317</v>
          </cell>
          <cell r="B19" t="str">
            <v>Sichuan Roasted Veggies</v>
          </cell>
          <cell r="C19">
            <v>-1.1000000000000001</v>
          </cell>
          <cell r="D19" t="str">
            <v>Asia</v>
          </cell>
        </row>
        <row r="20">
          <cell r="A20">
            <v>1078</v>
          </cell>
          <cell r="B20" t="str">
            <v>Brazilian Refried Beans</v>
          </cell>
          <cell r="D20" t="str">
            <v>Brazil</v>
          </cell>
        </row>
        <row r="21">
          <cell r="A21">
            <v>1080</v>
          </cell>
          <cell r="B21" t="str">
            <v>Brazilian Black Bean Stew</v>
          </cell>
          <cell r="D21" t="str">
            <v>Brazil</v>
          </cell>
        </row>
        <row r="22">
          <cell r="A22">
            <v>1155</v>
          </cell>
          <cell r="B22" t="str">
            <v>French Onion Soup</v>
          </cell>
          <cell r="D22" t="str">
            <v>France</v>
          </cell>
        </row>
        <row r="23">
          <cell r="A23">
            <v>585</v>
          </cell>
          <cell r="B23" t="str">
            <v>Beet Tartare</v>
          </cell>
          <cell r="C23">
            <v>-1.1000000000000001</v>
          </cell>
          <cell r="D23" t="str">
            <v>France</v>
          </cell>
        </row>
        <row r="24">
          <cell r="A24">
            <v>573</v>
          </cell>
          <cell r="B24" t="str">
            <v>ConsommÈ with poached egg</v>
          </cell>
          <cell r="C24">
            <v>-1.1000000000000001</v>
          </cell>
          <cell r="D24" t="str">
            <v>France</v>
          </cell>
        </row>
        <row r="25">
          <cell r="A25">
            <v>366</v>
          </cell>
          <cell r="B25" t="str">
            <v>French onion soup</v>
          </cell>
          <cell r="D25" t="str">
            <v>France</v>
          </cell>
        </row>
        <row r="26">
          <cell r="A26">
            <v>33</v>
          </cell>
          <cell r="B26" t="str">
            <v>Mediterranean Omelette</v>
          </cell>
          <cell r="D26" t="str">
            <v>France</v>
          </cell>
        </row>
        <row r="27">
          <cell r="A27">
            <v>19</v>
          </cell>
          <cell r="B27" t="str">
            <v>Mediterranean Savory Muffin</v>
          </cell>
          <cell r="C27">
            <v>-1.1000000000000001</v>
          </cell>
          <cell r="D27" t="str">
            <v>France</v>
          </cell>
        </row>
        <row r="28">
          <cell r="A28">
            <v>12</v>
          </cell>
          <cell r="B28" t="str">
            <v>Ratatouille</v>
          </cell>
          <cell r="D28" t="str">
            <v>France</v>
          </cell>
        </row>
        <row r="29">
          <cell r="A29">
            <v>39</v>
          </cell>
          <cell r="B29" t="str">
            <v>Root Vegetable Quiche</v>
          </cell>
          <cell r="C29">
            <v>-1.1000000000000001</v>
          </cell>
          <cell r="D29" t="str">
            <v>France</v>
          </cell>
        </row>
        <row r="30">
          <cell r="A30">
            <v>301</v>
          </cell>
          <cell r="B30" t="str">
            <v>Chana Masala</v>
          </cell>
          <cell r="C30">
            <v>-1.1000000000000001</v>
          </cell>
          <cell r="D30" t="str">
            <v>India</v>
          </cell>
        </row>
        <row r="31">
          <cell r="A31">
            <v>18</v>
          </cell>
          <cell r="B31" t="str">
            <v>Daal</v>
          </cell>
          <cell r="D31" t="str">
            <v>India</v>
          </cell>
        </row>
        <row r="32">
          <cell r="A32">
            <v>167</v>
          </cell>
          <cell r="B32" t="str">
            <v>Potato Curry</v>
          </cell>
          <cell r="C32">
            <v>-1.1000000000000001</v>
          </cell>
          <cell r="D32" t="str">
            <v>India</v>
          </cell>
        </row>
        <row r="33">
          <cell r="A33">
            <v>17</v>
          </cell>
          <cell r="B33" t="str">
            <v>Tikka Masala</v>
          </cell>
          <cell r="C33">
            <v>-1.1000000000000001</v>
          </cell>
          <cell r="D33" t="str">
            <v>India</v>
          </cell>
        </row>
        <row r="34">
          <cell r="A34">
            <v>30</v>
          </cell>
          <cell r="B34" t="str">
            <v>Curry</v>
          </cell>
          <cell r="C34">
            <v>-1.1000000000000001</v>
          </cell>
          <cell r="D34" t="str">
            <v>India</v>
          </cell>
        </row>
        <row r="35">
          <cell r="A35">
            <v>923</v>
          </cell>
          <cell r="B35" t="str">
            <v>Indian Pasta</v>
          </cell>
          <cell r="D35" t="str">
            <v>India</v>
          </cell>
        </row>
        <row r="36">
          <cell r="A36">
            <v>103</v>
          </cell>
          <cell r="B36" t="str">
            <v>Indian Sauce</v>
          </cell>
          <cell r="D36" t="str">
            <v>India</v>
          </cell>
        </row>
        <row r="37">
          <cell r="A37">
            <v>1158</v>
          </cell>
          <cell r="B37" t="str">
            <v>Bruschetta</v>
          </cell>
          <cell r="D37" t="str">
            <v>Italy</v>
          </cell>
        </row>
        <row r="38">
          <cell r="A38">
            <v>972</v>
          </cell>
          <cell r="B38" t="str">
            <v>Butternut Squash Risotto</v>
          </cell>
          <cell r="C38">
            <v>-1.1000000000000001</v>
          </cell>
          <cell r="D38" t="str">
            <v>Italy</v>
          </cell>
        </row>
        <row r="39">
          <cell r="A39">
            <v>973</v>
          </cell>
          <cell r="B39" t="str">
            <v>Beetroot Risotto</v>
          </cell>
          <cell r="C39">
            <v>-1.1000000000000001</v>
          </cell>
          <cell r="D39" t="str">
            <v>Italy</v>
          </cell>
        </row>
        <row r="40">
          <cell r="A40">
            <v>974</v>
          </cell>
          <cell r="B40" t="str">
            <v>Barley Risotto</v>
          </cell>
          <cell r="C40">
            <v>-1.1000000000000001</v>
          </cell>
          <cell r="D40" t="str">
            <v>Italy</v>
          </cell>
        </row>
        <row r="41">
          <cell r="A41">
            <v>92</v>
          </cell>
          <cell r="B41" t="str">
            <v>Lasagna</v>
          </cell>
          <cell r="C41">
            <v>-1.1000000000000001</v>
          </cell>
          <cell r="D41" t="str">
            <v>Italy</v>
          </cell>
        </row>
        <row r="42">
          <cell r="A42">
            <v>971</v>
          </cell>
          <cell r="B42" t="str">
            <v>Mushroom Risotto</v>
          </cell>
          <cell r="C42">
            <v>-1.1000000000000001</v>
          </cell>
          <cell r="D42" t="str">
            <v>Italy</v>
          </cell>
        </row>
        <row r="43">
          <cell r="A43">
            <v>87</v>
          </cell>
          <cell r="B43" t="str">
            <v>Risotto</v>
          </cell>
          <cell r="C43">
            <v>-1.1000000000000001</v>
          </cell>
          <cell r="D43" t="str">
            <v>Italy</v>
          </cell>
        </row>
        <row r="44">
          <cell r="A44">
            <v>975</v>
          </cell>
          <cell r="B44" t="str">
            <v>Zucchini Risotto</v>
          </cell>
          <cell r="C44">
            <v>-1.1000000000000001</v>
          </cell>
          <cell r="D44" t="str">
            <v>Italy</v>
          </cell>
        </row>
        <row r="45">
          <cell r="A45">
            <v>65</v>
          </cell>
          <cell r="B45" t="str">
            <v>Classic Lasagna</v>
          </cell>
          <cell r="C45">
            <v>-1.1000000000000001</v>
          </cell>
          <cell r="D45" t="str">
            <v>Italy</v>
          </cell>
        </row>
        <row r="46">
          <cell r="A46">
            <v>173</v>
          </cell>
          <cell r="B46" t="str">
            <v>Eggplant Pizza</v>
          </cell>
          <cell r="C46">
            <v>-1.1000000000000001</v>
          </cell>
          <cell r="D46" t="str">
            <v>Italy</v>
          </cell>
        </row>
        <row r="47">
          <cell r="A47">
            <v>302</v>
          </cell>
          <cell r="B47" t="str">
            <v>Gnocchi</v>
          </cell>
          <cell r="C47">
            <v>-1.1000000000000001</v>
          </cell>
          <cell r="D47" t="str">
            <v>Italy</v>
          </cell>
        </row>
        <row r="48">
          <cell r="A48">
            <v>847</v>
          </cell>
          <cell r="B48" t="str">
            <v>Italian Pasta</v>
          </cell>
          <cell r="D48" t="str">
            <v>Italy</v>
          </cell>
        </row>
        <row r="49">
          <cell r="A49">
            <v>175</v>
          </cell>
          <cell r="B49" t="str">
            <v>Mushroom Pizza</v>
          </cell>
          <cell r="C49">
            <v>-1.1000000000000001</v>
          </cell>
          <cell r="D49" t="str">
            <v>Italy</v>
          </cell>
        </row>
        <row r="50">
          <cell r="A50">
            <v>1156</v>
          </cell>
          <cell r="B50" t="str">
            <v>Panzanella</v>
          </cell>
          <cell r="C50">
            <v>-1.1000000000000001</v>
          </cell>
          <cell r="D50" t="str">
            <v>Italy</v>
          </cell>
        </row>
        <row r="51">
          <cell r="A51">
            <v>29</v>
          </cell>
          <cell r="B51" t="str">
            <v>Pizza Bianca</v>
          </cell>
          <cell r="C51">
            <v>-1.1000000000000001</v>
          </cell>
          <cell r="D51" t="str">
            <v>Italy</v>
          </cell>
        </row>
        <row r="52">
          <cell r="A52">
            <v>358</v>
          </cell>
          <cell r="B52" t="str">
            <v>Potato and Spinach Dumplings from Sardinia</v>
          </cell>
          <cell r="C52">
            <v>-1.1000000000000001</v>
          </cell>
          <cell r="D52" t="str">
            <v>Italy</v>
          </cell>
        </row>
        <row r="53">
          <cell r="A53">
            <v>521</v>
          </cell>
          <cell r="B53" t="str">
            <v>Risotto with Swiss Chard</v>
          </cell>
          <cell r="C53">
            <v>-1.1000000000000001</v>
          </cell>
          <cell r="D53" t="str">
            <v>Italy</v>
          </cell>
        </row>
        <row r="54">
          <cell r="A54">
            <v>8</v>
          </cell>
          <cell r="B54" t="str">
            <v>Sicilian Diavola Pizza</v>
          </cell>
          <cell r="C54">
            <v>-1.1000000000000001</v>
          </cell>
          <cell r="D54" t="str">
            <v>Italy</v>
          </cell>
        </row>
        <row r="55">
          <cell r="A55">
            <v>66</v>
          </cell>
          <cell r="B55" t="str">
            <v>White Lasagna</v>
          </cell>
          <cell r="C55">
            <v>-1.1000000000000001</v>
          </cell>
          <cell r="D55" t="str">
            <v>Italy</v>
          </cell>
        </row>
        <row r="56">
          <cell r="A56">
            <v>86</v>
          </cell>
          <cell r="B56" t="str">
            <v>Pizza</v>
          </cell>
          <cell r="C56">
            <v>-1.1000000000000001</v>
          </cell>
          <cell r="D56" t="str">
            <v>Italy</v>
          </cell>
        </row>
        <row r="57">
          <cell r="A57">
            <v>288</v>
          </cell>
          <cell r="B57" t="str">
            <v>Moussaka</v>
          </cell>
          <cell r="C57">
            <v>-1.1000000000000001</v>
          </cell>
          <cell r="D57" t="str">
            <v>Mediterrenean</v>
          </cell>
        </row>
        <row r="58">
          <cell r="A58">
            <v>291</v>
          </cell>
          <cell r="B58" t="str">
            <v>Celeriac Moussaka</v>
          </cell>
          <cell r="C58">
            <v>-1.1000000000000001</v>
          </cell>
          <cell r="D58" t="str">
            <v>Mediterrenean</v>
          </cell>
        </row>
        <row r="59">
          <cell r="A59">
            <v>289</v>
          </cell>
          <cell r="B59" t="str">
            <v>Eggplant Moussaka</v>
          </cell>
          <cell r="C59">
            <v>-1.1000000000000001</v>
          </cell>
          <cell r="D59" t="str">
            <v>Mediterrenean</v>
          </cell>
        </row>
        <row r="60">
          <cell r="A60">
            <v>602</v>
          </cell>
          <cell r="B60" t="str">
            <v>Samosas</v>
          </cell>
          <cell r="C60">
            <v>-1.1000000000000001</v>
          </cell>
          <cell r="D60" t="str">
            <v>Mediterrenean</v>
          </cell>
        </row>
        <row r="61">
          <cell r="A61">
            <v>292</v>
          </cell>
          <cell r="B61" t="str">
            <v>Zucchini Moussaka</v>
          </cell>
          <cell r="C61">
            <v>-1.1000000000000001</v>
          </cell>
          <cell r="D61" t="str">
            <v>Mediterrenean</v>
          </cell>
        </row>
        <row r="62">
          <cell r="A62">
            <v>91</v>
          </cell>
          <cell r="B62" t="str">
            <v>Burrito</v>
          </cell>
          <cell r="D62" t="str">
            <v>Mexico</v>
          </cell>
        </row>
        <row r="63">
          <cell r="A63">
            <v>137</v>
          </cell>
          <cell r="B63" t="str">
            <v>Chili sin carne</v>
          </cell>
          <cell r="C63">
            <v>-1.1000000000000001</v>
          </cell>
          <cell r="D63" t="str">
            <v>Mexico</v>
          </cell>
        </row>
        <row r="64">
          <cell r="A64">
            <v>960</v>
          </cell>
          <cell r="B64" t="str">
            <v>Mexican Pasta</v>
          </cell>
          <cell r="D64" t="str">
            <v>Mexico</v>
          </cell>
        </row>
        <row r="65">
          <cell r="A65">
            <v>995</v>
          </cell>
          <cell r="B65" t="str">
            <v>Mexican Salad</v>
          </cell>
          <cell r="D65" t="str">
            <v>Mexico</v>
          </cell>
        </row>
        <row r="66">
          <cell r="A66">
            <v>14</v>
          </cell>
          <cell r="B66" t="str">
            <v>Tortilla Soup</v>
          </cell>
          <cell r="D66" t="str">
            <v>Mexico</v>
          </cell>
        </row>
        <row r="67">
          <cell r="A67">
            <v>1072</v>
          </cell>
          <cell r="B67" t="str">
            <v>Burrito</v>
          </cell>
          <cell r="D67" t="str">
            <v>Mexico</v>
          </cell>
        </row>
        <row r="68">
          <cell r="A68">
            <v>1071</v>
          </cell>
          <cell r="B68" t="str">
            <v>Chili con carne</v>
          </cell>
          <cell r="C68">
            <v>-1.1000000000000001</v>
          </cell>
          <cell r="D68" t="str">
            <v>Mexico</v>
          </cell>
        </row>
        <row r="69">
          <cell r="A69">
            <v>104</v>
          </cell>
          <cell r="B69" t="str">
            <v>Classic Wrap</v>
          </cell>
          <cell r="D69" t="str">
            <v>Mexico</v>
          </cell>
        </row>
        <row r="70">
          <cell r="A70">
            <v>40</v>
          </cell>
          <cell r="B70" t="str">
            <v>Guacamole</v>
          </cell>
          <cell r="C70">
            <v>-1.1000000000000001</v>
          </cell>
          <cell r="D70" t="str">
            <v>Mexico</v>
          </cell>
        </row>
        <row r="71">
          <cell r="A71">
            <v>788</v>
          </cell>
          <cell r="B71" t="str">
            <v>Guacamole</v>
          </cell>
          <cell r="C71">
            <v>-1.1000000000000001</v>
          </cell>
          <cell r="D71" t="str">
            <v>Mexico</v>
          </cell>
        </row>
        <row r="72">
          <cell r="A72">
            <v>693</v>
          </cell>
          <cell r="B72" t="str">
            <v>Homemade Tortilla Chips</v>
          </cell>
          <cell r="C72">
            <v>-1.1000000000000001</v>
          </cell>
          <cell r="D72" t="str">
            <v>Mexico</v>
          </cell>
        </row>
        <row r="73">
          <cell r="A73">
            <v>251</v>
          </cell>
          <cell r="B73" t="str">
            <v>Lentil Burrito</v>
          </cell>
          <cell r="C73">
            <v>-1.1000000000000001</v>
          </cell>
          <cell r="D73" t="str">
            <v>Mexico</v>
          </cell>
        </row>
        <row r="74">
          <cell r="A74">
            <v>932</v>
          </cell>
          <cell r="B74" t="str">
            <v>Mexican Pasta</v>
          </cell>
          <cell r="D74" t="str">
            <v>Mexico</v>
          </cell>
        </row>
        <row r="75">
          <cell r="A75">
            <v>7</v>
          </cell>
          <cell r="B75" t="str">
            <v>Mexican Pizza</v>
          </cell>
          <cell r="C75">
            <v>-1.1000000000000001</v>
          </cell>
          <cell r="D75" t="str">
            <v>Mexico</v>
          </cell>
        </row>
        <row r="76">
          <cell r="A76">
            <v>286</v>
          </cell>
          <cell r="B76" t="str">
            <v>Nachos</v>
          </cell>
          <cell r="C76">
            <v>-1.1000000000000001</v>
          </cell>
          <cell r="D76" t="str">
            <v>Mexico</v>
          </cell>
        </row>
        <row r="77">
          <cell r="A77">
            <v>64</v>
          </cell>
          <cell r="B77" t="str">
            <v>Falafel</v>
          </cell>
          <cell r="C77">
            <v>-1.1000000000000001</v>
          </cell>
          <cell r="D77" t="str">
            <v>Middle East</v>
          </cell>
        </row>
        <row r="78">
          <cell r="A78">
            <v>993</v>
          </cell>
          <cell r="B78" t="str">
            <v>Couscous Salad</v>
          </cell>
          <cell r="D78" t="str">
            <v>Middle East</v>
          </cell>
        </row>
        <row r="79">
          <cell r="A79">
            <v>20</v>
          </cell>
          <cell r="B79" t="str">
            <v>Hummus</v>
          </cell>
          <cell r="D79" t="str">
            <v>Middle East</v>
          </cell>
        </row>
        <row r="80">
          <cell r="A80">
            <v>1001</v>
          </cell>
          <cell r="B80" t="str">
            <v>Tabbouleh</v>
          </cell>
          <cell r="D80" t="str">
            <v>Middle East</v>
          </cell>
        </row>
        <row r="81">
          <cell r="A81">
            <v>21</v>
          </cell>
          <cell r="B81" t="str">
            <v>Baba Ganoush</v>
          </cell>
          <cell r="C81">
            <v>-1.1000000000000001</v>
          </cell>
          <cell r="D81" t="str">
            <v>Middle East</v>
          </cell>
        </row>
        <row r="82">
          <cell r="A82">
            <v>284</v>
          </cell>
          <cell r="B82" t="str">
            <v>Bulgur Casserole</v>
          </cell>
          <cell r="C82">
            <v>-1.1000000000000001</v>
          </cell>
          <cell r="D82" t="str">
            <v>Middle East</v>
          </cell>
        </row>
        <row r="83">
          <cell r="A83">
            <v>142</v>
          </cell>
          <cell r="B83" t="str">
            <v>Shakshouka</v>
          </cell>
          <cell r="C83">
            <v>-1.1000000000000001</v>
          </cell>
          <cell r="D83" t="str">
            <v>Middle East</v>
          </cell>
        </row>
        <row r="84">
          <cell r="A84">
            <v>254</v>
          </cell>
          <cell r="B84" t="str">
            <v>Stuffed Butternut Squash with Couscous</v>
          </cell>
          <cell r="C84">
            <v>-1.1000000000000001</v>
          </cell>
          <cell r="D84" t="str">
            <v>Middle East</v>
          </cell>
        </row>
        <row r="85">
          <cell r="A85">
            <v>16</v>
          </cell>
          <cell r="B85" t="str">
            <v>Tagine</v>
          </cell>
          <cell r="C85">
            <v>-1.1000000000000001</v>
          </cell>
          <cell r="D85" t="str">
            <v>Middle East</v>
          </cell>
        </row>
        <row r="86">
          <cell r="A86">
            <v>57</v>
          </cell>
          <cell r="B86" t="str">
            <v>Borscht</v>
          </cell>
          <cell r="C86">
            <v>-1.1000000000000001</v>
          </cell>
          <cell r="D86" t="str">
            <v>Northern Europe</v>
          </cell>
        </row>
        <row r="87">
          <cell r="A87">
            <v>1060</v>
          </cell>
          <cell r="B87" t="str">
            <v>Danish Mash</v>
          </cell>
          <cell r="C87">
            <v>-1.1000000000000001</v>
          </cell>
          <cell r="D87" t="str">
            <v>Northern Europe</v>
          </cell>
        </row>
        <row r="88">
          <cell r="A88">
            <v>594</v>
          </cell>
          <cell r="B88" t="str">
            <v>Fried Celeriac</v>
          </cell>
          <cell r="C88">
            <v>-1.1000000000000001</v>
          </cell>
          <cell r="D88" t="str">
            <v>Northern Europe</v>
          </cell>
        </row>
        <row r="89">
          <cell r="A89">
            <v>780</v>
          </cell>
          <cell r="B89" t="str">
            <v>Fried Celeriac a la Fish Filet</v>
          </cell>
          <cell r="C89">
            <v>-1.1000000000000001</v>
          </cell>
          <cell r="D89" t="str">
            <v>Northern Europe</v>
          </cell>
        </row>
        <row r="90">
          <cell r="A90">
            <v>4</v>
          </cell>
          <cell r="B90" t="str">
            <v>Goulash</v>
          </cell>
          <cell r="C90">
            <v>-1.1000000000000001</v>
          </cell>
          <cell r="D90" t="str">
            <v>Northern Europe</v>
          </cell>
        </row>
        <row r="91">
          <cell r="A91">
            <v>928</v>
          </cell>
          <cell r="B91" t="str">
            <v>Mashed Parsnips</v>
          </cell>
          <cell r="C91">
            <v>-1.1000000000000001</v>
          </cell>
          <cell r="D91" t="str">
            <v>Northern Europe</v>
          </cell>
        </row>
        <row r="92">
          <cell r="A92">
            <v>1061</v>
          </cell>
          <cell r="B92" t="str">
            <v>Andalusian Gazpacho</v>
          </cell>
          <cell r="C92">
            <v>-1.1000000000000001</v>
          </cell>
          <cell r="D92" t="str">
            <v>Spain</v>
          </cell>
        </row>
        <row r="93">
          <cell r="A93">
            <v>1062</v>
          </cell>
          <cell r="B93" t="str">
            <v>Cordovan Salmorejo</v>
          </cell>
          <cell r="C93">
            <v>-1.1000000000000001</v>
          </cell>
          <cell r="D93" t="str">
            <v>Spain</v>
          </cell>
        </row>
        <row r="94">
          <cell r="A94">
            <v>135</v>
          </cell>
          <cell r="B94" t="str">
            <v>Gazpacho</v>
          </cell>
          <cell r="D94" t="str">
            <v>Spain</v>
          </cell>
        </row>
        <row r="95">
          <cell r="A95">
            <v>1063</v>
          </cell>
          <cell r="B95" t="str">
            <v>Pisto Manchego</v>
          </cell>
          <cell r="C95">
            <v>-1.1000000000000001</v>
          </cell>
          <cell r="D95" t="str">
            <v>Spain</v>
          </cell>
        </row>
        <row r="96">
          <cell r="A96">
            <v>32</v>
          </cell>
          <cell r="B96" t="str">
            <v>Spanish Omelette</v>
          </cell>
          <cell r="C96">
            <v>-1.1000000000000001</v>
          </cell>
          <cell r="D96" t="str">
            <v>Spain</v>
          </cell>
        </row>
        <row r="97">
          <cell r="A97">
            <v>1079</v>
          </cell>
          <cell r="B97" t="str">
            <v>Barreado</v>
          </cell>
          <cell r="C97">
            <v>-1.1000000000000001</v>
          </cell>
          <cell r="D97" t="str">
            <v>Spain</v>
          </cell>
        </row>
        <row r="98">
          <cell r="A98">
            <v>1070</v>
          </cell>
          <cell r="B98" t="str">
            <v>Spanish Mashed Potatoes</v>
          </cell>
          <cell r="C98">
            <v>-1.1000000000000001</v>
          </cell>
          <cell r="D98" t="str">
            <v>Spain</v>
          </cell>
        </row>
        <row r="99">
          <cell r="A99">
            <v>255</v>
          </cell>
          <cell r="B99" t="str">
            <v>Lemongrass Noodle Soup</v>
          </cell>
          <cell r="C99">
            <v>-1.1000000000000001</v>
          </cell>
          <cell r="D99" t="str">
            <v>Thai</v>
          </cell>
        </row>
        <row r="100">
          <cell r="A100">
            <v>1013</v>
          </cell>
          <cell r="B100" t="str">
            <v>Thai Curry</v>
          </cell>
          <cell r="C100">
            <v>-1.1000000000000001</v>
          </cell>
          <cell r="D100" t="str">
            <v>Thai</v>
          </cell>
        </row>
        <row r="101">
          <cell r="A101">
            <v>257</v>
          </cell>
          <cell r="B101" t="str">
            <v>Vietnamese Stir Fry</v>
          </cell>
          <cell r="D101" t="str">
            <v>Thai</v>
          </cell>
        </row>
        <row r="102">
          <cell r="A102">
            <v>925</v>
          </cell>
          <cell r="B102" t="str">
            <v>Thai Basil Eggplant Stir Fry</v>
          </cell>
          <cell r="D102" t="str">
            <v>Thai</v>
          </cell>
        </row>
        <row r="103">
          <cell r="A103">
            <v>947</v>
          </cell>
          <cell r="B103" t="str">
            <v>Thailand Pasta</v>
          </cell>
          <cell r="D103" t="str">
            <v>Thai</v>
          </cell>
        </row>
        <row r="104">
          <cell r="A104">
            <v>325</v>
          </cell>
          <cell r="B104" t="str">
            <v>thai soup</v>
          </cell>
          <cell r="D104" t="str">
            <v>Thai</v>
          </cell>
        </row>
        <row r="105">
          <cell r="A105">
            <v>912</v>
          </cell>
          <cell r="B105" t="str">
            <v>Vegan Green Curry</v>
          </cell>
          <cell r="D105" t="str">
            <v>Thai</v>
          </cell>
        </row>
        <row r="106">
          <cell r="A106">
            <v>957</v>
          </cell>
          <cell r="B106" t="str">
            <v>Creamy Mushroom Pasta</v>
          </cell>
          <cell r="D106" t="str">
            <v>Pasta</v>
          </cell>
        </row>
        <row r="107">
          <cell r="A107">
            <v>958</v>
          </cell>
          <cell r="B107" t="str">
            <v>Creamy Pasta</v>
          </cell>
          <cell r="D107" t="str">
            <v>Pasta</v>
          </cell>
        </row>
        <row r="108">
          <cell r="A108">
            <v>959</v>
          </cell>
          <cell r="B108" t="str">
            <v>Eggplant Pasta</v>
          </cell>
          <cell r="C108">
            <v>-1.1000000000000001</v>
          </cell>
          <cell r="D108" t="str">
            <v>Pasta</v>
          </cell>
        </row>
        <row r="109">
          <cell r="A109">
            <v>69</v>
          </cell>
          <cell r="B109" t="str">
            <v>Pasta</v>
          </cell>
          <cell r="D109" t="str">
            <v>Pasta</v>
          </cell>
        </row>
        <row r="110">
          <cell r="A110">
            <v>984</v>
          </cell>
          <cell r="B110" t="str">
            <v>Pasta Salad</v>
          </cell>
          <cell r="D110" t="str">
            <v>Pasta</v>
          </cell>
        </row>
        <row r="111">
          <cell r="A111">
            <v>961</v>
          </cell>
          <cell r="B111" t="str">
            <v>Pumpkin Pasta</v>
          </cell>
          <cell r="D111" t="str">
            <v>Pasta</v>
          </cell>
        </row>
        <row r="112">
          <cell r="A112">
            <v>1056</v>
          </cell>
          <cell r="B112" t="str">
            <v>Spaghetti Bolognese</v>
          </cell>
          <cell r="D112" t="str">
            <v>Pasta</v>
          </cell>
        </row>
        <row r="113">
          <cell r="A113">
            <v>962</v>
          </cell>
          <cell r="B113" t="str">
            <v>Zucchini Pasta</v>
          </cell>
          <cell r="D113" t="str">
            <v>Pasta</v>
          </cell>
        </row>
        <row r="114">
          <cell r="A114">
            <v>1081</v>
          </cell>
          <cell r="B114" t="str">
            <v>Asparagus Pasta</v>
          </cell>
          <cell r="D114" t="str">
            <v>Pasta</v>
          </cell>
        </row>
        <row r="115">
          <cell r="A115">
            <v>283</v>
          </cell>
          <cell r="B115" t="str">
            <v>Baked Pasta</v>
          </cell>
          <cell r="D115" t="str">
            <v>Pasta</v>
          </cell>
        </row>
        <row r="116">
          <cell r="A116">
            <v>919</v>
          </cell>
          <cell r="B116" t="str">
            <v>Caribbean Pasta</v>
          </cell>
          <cell r="D116" t="str">
            <v>Pasta</v>
          </cell>
        </row>
        <row r="117">
          <cell r="A117">
            <v>920</v>
          </cell>
          <cell r="B117" t="str">
            <v>Chinese Pasta</v>
          </cell>
          <cell r="D117" t="str">
            <v>Pasta</v>
          </cell>
        </row>
        <row r="118">
          <cell r="A118">
            <v>1084</v>
          </cell>
          <cell r="B118" t="str">
            <v>Creamy Pasta</v>
          </cell>
          <cell r="D118" t="str">
            <v>Pasta</v>
          </cell>
        </row>
        <row r="119">
          <cell r="A119">
            <v>324</v>
          </cell>
          <cell r="B119" t="str">
            <v>Creamy Vegan Pasta</v>
          </cell>
          <cell r="D119" t="str">
            <v>Pasta</v>
          </cell>
        </row>
        <row r="120">
          <cell r="A120">
            <v>901</v>
          </cell>
          <cell r="B120" t="str">
            <v>Family Pasta</v>
          </cell>
          <cell r="D120" t="str">
            <v>Pasta</v>
          </cell>
        </row>
        <row r="121">
          <cell r="A121">
            <v>921</v>
          </cell>
          <cell r="B121" t="str">
            <v>French Pasta</v>
          </cell>
          <cell r="D121" t="str">
            <v>Pasta</v>
          </cell>
        </row>
        <row r="122">
          <cell r="A122">
            <v>601</v>
          </cell>
          <cell r="B122" t="str">
            <v>Homemade Pasta</v>
          </cell>
          <cell r="D122" t="str">
            <v>Pasta</v>
          </cell>
        </row>
        <row r="123">
          <cell r="A123">
            <v>846</v>
          </cell>
          <cell r="B123" t="str">
            <v>Legume Pasta</v>
          </cell>
          <cell r="D123" t="str">
            <v>Pasta</v>
          </cell>
        </row>
        <row r="124">
          <cell r="A124">
            <v>935</v>
          </cell>
          <cell r="B124" t="str">
            <v>Middle Eastern Pasta</v>
          </cell>
          <cell r="D124" t="str">
            <v>Pasta</v>
          </cell>
        </row>
        <row r="125">
          <cell r="A125">
            <v>939</v>
          </cell>
          <cell r="B125" t="str">
            <v>Norway Pasta</v>
          </cell>
          <cell r="D125" t="str">
            <v>Pasta</v>
          </cell>
        </row>
        <row r="126">
          <cell r="A126">
            <v>285</v>
          </cell>
          <cell r="B126" t="str">
            <v>Orzotto</v>
          </cell>
          <cell r="C126">
            <v>-1.1000000000000001</v>
          </cell>
          <cell r="D126" t="str">
            <v>Pasta</v>
          </cell>
        </row>
        <row r="127">
          <cell r="A127">
            <v>1073</v>
          </cell>
          <cell r="B127" t="str">
            <v>Pasta</v>
          </cell>
          <cell r="D127" t="str">
            <v>Pasta</v>
          </cell>
        </row>
        <row r="128">
          <cell r="A128">
            <v>1096</v>
          </cell>
          <cell r="B128" t="str">
            <v>Pasta Salad</v>
          </cell>
          <cell r="D128" t="str">
            <v>Pasta</v>
          </cell>
        </row>
        <row r="129">
          <cell r="A129">
            <v>945</v>
          </cell>
          <cell r="B129" t="str">
            <v>Philippines Pasta</v>
          </cell>
          <cell r="D129" t="str">
            <v>Pasta</v>
          </cell>
        </row>
        <row r="130">
          <cell r="A130">
            <v>989</v>
          </cell>
          <cell r="B130" t="str">
            <v>Arugula Salad</v>
          </cell>
          <cell r="D130" t="str">
            <v>Salad</v>
          </cell>
        </row>
        <row r="131">
          <cell r="A131">
            <v>990</v>
          </cell>
          <cell r="B131" t="str">
            <v>Broccoli Salad</v>
          </cell>
          <cell r="D131" t="str">
            <v>Salad</v>
          </cell>
        </row>
        <row r="132">
          <cell r="A132">
            <v>554</v>
          </cell>
          <cell r="B132" t="str">
            <v>Crunchy Salad</v>
          </cell>
          <cell r="D132" t="str">
            <v>Salad</v>
          </cell>
        </row>
        <row r="133">
          <cell r="A133">
            <v>996</v>
          </cell>
          <cell r="B133" t="str">
            <v>Grain Salad</v>
          </cell>
          <cell r="D133" t="str">
            <v>Salad</v>
          </cell>
        </row>
        <row r="134">
          <cell r="A134">
            <v>994</v>
          </cell>
          <cell r="B134" t="str">
            <v>Kale Salad</v>
          </cell>
          <cell r="D134" t="str">
            <v>Salad</v>
          </cell>
        </row>
        <row r="135">
          <cell r="A135">
            <v>997</v>
          </cell>
          <cell r="B135" t="str">
            <v>Pearl Barley Salad</v>
          </cell>
          <cell r="D135" t="str">
            <v>Salad</v>
          </cell>
        </row>
        <row r="136">
          <cell r="A136">
            <v>999</v>
          </cell>
          <cell r="B136" t="str">
            <v>Red Cabbage Salad</v>
          </cell>
          <cell r="D136" t="str">
            <v>Salad</v>
          </cell>
        </row>
        <row r="137">
          <cell r="A137">
            <v>94</v>
          </cell>
          <cell r="B137" t="str">
            <v>Salad</v>
          </cell>
          <cell r="D137" t="str">
            <v>Salad</v>
          </cell>
        </row>
        <row r="138">
          <cell r="A138">
            <v>998</v>
          </cell>
          <cell r="B138" t="str">
            <v>Spinach Salad</v>
          </cell>
          <cell r="D138" t="str">
            <v>Salad</v>
          </cell>
        </row>
        <row r="139">
          <cell r="A139">
            <v>196</v>
          </cell>
          <cell r="B139" t="str">
            <v>Chickpea Buddha Bowl</v>
          </cell>
          <cell r="D139" t="str">
            <v>Salad</v>
          </cell>
        </row>
        <row r="140">
          <cell r="A140">
            <v>144</v>
          </cell>
          <cell r="B140" t="str">
            <v>Slaw</v>
          </cell>
          <cell r="D140" t="str">
            <v>Salad</v>
          </cell>
        </row>
        <row r="141">
          <cell r="A141">
            <v>1002</v>
          </cell>
          <cell r="B141" t="str">
            <v>Summer Salad</v>
          </cell>
          <cell r="D141" t="str">
            <v>Salad</v>
          </cell>
        </row>
        <row r="142">
          <cell r="A142">
            <v>106</v>
          </cell>
          <cell r="B142" t="str">
            <v>Nordic Salad</v>
          </cell>
          <cell r="D142" t="str">
            <v>Salad</v>
          </cell>
        </row>
        <row r="143">
          <cell r="A143">
            <v>362</v>
          </cell>
          <cell r="B143" t="str">
            <v>Quinoa Salad with Sweet Potato</v>
          </cell>
          <cell r="D143" t="str">
            <v>Salad</v>
          </cell>
        </row>
        <row r="144">
          <cell r="A144">
            <v>48</v>
          </cell>
          <cell r="B144" t="str">
            <v>Raw Buddha Bowl</v>
          </cell>
          <cell r="D144" t="str">
            <v>Salad</v>
          </cell>
        </row>
        <row r="145">
          <cell r="A145">
            <v>195</v>
          </cell>
          <cell r="B145" t="str">
            <v>Tofu Buddha Bowl</v>
          </cell>
          <cell r="C145">
            <v>-0.5</v>
          </cell>
          <cell r="D145" t="str">
            <v>Salad</v>
          </cell>
        </row>
        <row r="146">
          <cell r="A146">
            <v>281</v>
          </cell>
          <cell r="B146" t="str">
            <v>Warm Buckwheat Salad</v>
          </cell>
          <cell r="C146">
            <v>-1.1000000000000001</v>
          </cell>
          <cell r="D146" t="str">
            <v>Salad</v>
          </cell>
        </row>
        <row r="147">
          <cell r="A147">
            <v>55</v>
          </cell>
          <cell r="B147" t="str">
            <v>Warm Buddha Bowl</v>
          </cell>
          <cell r="C147">
            <v>-1.1000000000000001</v>
          </cell>
          <cell r="D147" t="str">
            <v>Salad</v>
          </cell>
        </row>
        <row r="148">
          <cell r="A148">
            <v>253</v>
          </cell>
          <cell r="B148" t="str">
            <v>Warm Bulgur Salad</v>
          </cell>
          <cell r="D148" t="str">
            <v>Salad</v>
          </cell>
        </row>
        <row r="149">
          <cell r="A149">
            <v>15</v>
          </cell>
          <cell r="B149" t="str">
            <v>Chowder</v>
          </cell>
          <cell r="C149">
            <v>-1.1000000000000001</v>
          </cell>
          <cell r="D149" t="str">
            <v>Soup</v>
          </cell>
        </row>
        <row r="150">
          <cell r="A150">
            <v>1046</v>
          </cell>
          <cell r="B150" t="str">
            <v>Chunky Soup</v>
          </cell>
          <cell r="D150" t="str">
            <v>Soup</v>
          </cell>
        </row>
        <row r="151">
          <cell r="A151">
            <v>979</v>
          </cell>
          <cell r="B151" t="str">
            <v>Creamy Broccoli Soup</v>
          </cell>
          <cell r="D151" t="str">
            <v>Soup</v>
          </cell>
        </row>
        <row r="152">
          <cell r="A152">
            <v>978</v>
          </cell>
          <cell r="B152" t="str">
            <v>Creamy Butternut Squash Soup</v>
          </cell>
          <cell r="C152">
            <v>-1.1000000000000001</v>
          </cell>
          <cell r="D152" t="str">
            <v>Soup</v>
          </cell>
        </row>
        <row r="153">
          <cell r="A153">
            <v>980</v>
          </cell>
          <cell r="B153" t="str">
            <v>Creamy Mushroom Soup</v>
          </cell>
          <cell r="D153" t="str">
            <v>Soup</v>
          </cell>
        </row>
        <row r="154">
          <cell r="A154">
            <v>977</v>
          </cell>
          <cell r="B154" t="str">
            <v>Creamy Pea Soup</v>
          </cell>
          <cell r="D154" t="str">
            <v>Soup</v>
          </cell>
        </row>
        <row r="155">
          <cell r="A155">
            <v>976</v>
          </cell>
          <cell r="B155" t="str">
            <v>Creamy Pepper Soup</v>
          </cell>
          <cell r="D155" t="str">
            <v>Soup</v>
          </cell>
        </row>
        <row r="156">
          <cell r="A156">
            <v>981</v>
          </cell>
          <cell r="B156" t="str">
            <v>Creamy Pumpkin Soup</v>
          </cell>
          <cell r="C156">
            <v>-1.1000000000000001</v>
          </cell>
          <cell r="D156" t="str">
            <v>Soup</v>
          </cell>
        </row>
        <row r="157">
          <cell r="A157">
            <v>227</v>
          </cell>
          <cell r="B157" t="str">
            <v>Creamy Soup</v>
          </cell>
          <cell r="D157" t="str">
            <v>Soup</v>
          </cell>
        </row>
        <row r="158">
          <cell r="A158">
            <v>136</v>
          </cell>
          <cell r="B158" t="str">
            <v>Cold Summer Soup</v>
          </cell>
          <cell r="D158" t="str">
            <v>Soup</v>
          </cell>
        </row>
        <row r="159">
          <cell r="A159">
            <v>632</v>
          </cell>
          <cell r="B159" t="str">
            <v>Pasta in tomato sauce with ham and chorizo</v>
          </cell>
          <cell r="C159">
            <v>-0.5</v>
          </cell>
          <cell r="D159" t="str">
            <v>Spain</v>
          </cell>
        </row>
        <row r="160">
          <cell r="A160">
            <v>1011</v>
          </cell>
          <cell r="B160" t="str">
            <v>Black Bean Stew</v>
          </cell>
          <cell r="C160">
            <v>-0.5</v>
          </cell>
          <cell r="D160" t="str">
            <v>Stew</v>
          </cell>
        </row>
        <row r="161">
          <cell r="A161">
            <v>1009</v>
          </cell>
          <cell r="B161" t="str">
            <v>Cabbage Stew</v>
          </cell>
          <cell r="D161" t="str">
            <v>Stew</v>
          </cell>
        </row>
        <row r="162">
          <cell r="A162">
            <v>132</v>
          </cell>
          <cell r="B162" t="str">
            <v>Casserole</v>
          </cell>
          <cell r="C162">
            <v>-1.1000000000000001</v>
          </cell>
          <cell r="D162" t="str">
            <v>Stew</v>
          </cell>
        </row>
        <row r="163">
          <cell r="A163">
            <v>1010</v>
          </cell>
          <cell r="B163" t="str">
            <v>Chickpea Stew</v>
          </cell>
          <cell r="D163" t="str">
            <v>Stew</v>
          </cell>
        </row>
        <row r="164">
          <cell r="A164">
            <v>1004</v>
          </cell>
          <cell r="B164" t="str">
            <v>Kale Stew</v>
          </cell>
          <cell r="C164">
            <v>-1.1000000000000001</v>
          </cell>
          <cell r="D164" t="str">
            <v>Stew</v>
          </cell>
        </row>
        <row r="165">
          <cell r="A165">
            <v>1007</v>
          </cell>
          <cell r="B165" t="str">
            <v>Mushroom Stew</v>
          </cell>
          <cell r="C165">
            <v>-1.1000000000000001</v>
          </cell>
          <cell r="D165" t="str">
            <v>Stew</v>
          </cell>
        </row>
        <row r="166">
          <cell r="A166">
            <v>1008</v>
          </cell>
          <cell r="B166" t="str">
            <v>Portobello Stew</v>
          </cell>
          <cell r="C166">
            <v>-1.1000000000000001</v>
          </cell>
          <cell r="D166" t="str">
            <v>Stew</v>
          </cell>
        </row>
        <row r="167">
          <cell r="A167">
            <v>1006</v>
          </cell>
          <cell r="B167" t="str">
            <v>Potato Stew</v>
          </cell>
          <cell r="C167">
            <v>-1.1000000000000001</v>
          </cell>
          <cell r="D167" t="str">
            <v>Stew</v>
          </cell>
        </row>
        <row r="168">
          <cell r="A168">
            <v>1005</v>
          </cell>
          <cell r="B168" t="str">
            <v>Pumpkin Stew</v>
          </cell>
          <cell r="C168">
            <v>-1.1000000000000001</v>
          </cell>
          <cell r="D168" t="str">
            <v>Stew</v>
          </cell>
        </row>
        <row r="169">
          <cell r="A169">
            <v>88</v>
          </cell>
          <cell r="B169" t="str">
            <v>Stew</v>
          </cell>
          <cell r="D169" t="str">
            <v>Stew</v>
          </cell>
        </row>
        <row r="170">
          <cell r="A170">
            <v>1003</v>
          </cell>
          <cell r="B170" t="str">
            <v>Sweet Potato Stew</v>
          </cell>
          <cell r="C170">
            <v>-1.1000000000000001</v>
          </cell>
          <cell r="D170" t="str">
            <v>Stew</v>
          </cell>
        </row>
        <row r="171">
          <cell r="A171">
            <v>896</v>
          </cell>
          <cell r="B171" t="str">
            <v>Vegetarian Chili</v>
          </cell>
          <cell r="C171">
            <v>-1.1000000000000001</v>
          </cell>
          <cell r="D171" t="str">
            <v>Stew</v>
          </cell>
        </row>
        <row r="172">
          <cell r="A172">
            <v>965</v>
          </cell>
          <cell r="B172" t="str">
            <v>Bell Pepper Stir-Fry</v>
          </cell>
          <cell r="D172" t="str">
            <v>wok</v>
          </cell>
        </row>
        <row r="173">
          <cell r="A173">
            <v>964</v>
          </cell>
          <cell r="B173" t="str">
            <v>Green Beans Stir-Fry</v>
          </cell>
          <cell r="D173" t="str">
            <v>wok</v>
          </cell>
        </row>
        <row r="174">
          <cell r="A174">
            <v>966</v>
          </cell>
          <cell r="B174" t="str">
            <v>Broccoli Edamame Stir-Fry</v>
          </cell>
          <cell r="D174" t="str">
            <v>Wok</v>
          </cell>
        </row>
        <row r="175">
          <cell r="A175">
            <v>968</v>
          </cell>
          <cell r="B175" t="str">
            <v>Mushroom Stir-Fry</v>
          </cell>
          <cell r="D175" t="str">
            <v>wok</v>
          </cell>
        </row>
        <row r="176">
          <cell r="A176">
            <v>75</v>
          </cell>
          <cell r="B176" t="str">
            <v>Pan Fry</v>
          </cell>
          <cell r="D176" t="str">
            <v>wok</v>
          </cell>
        </row>
        <row r="177">
          <cell r="A177">
            <v>71</v>
          </cell>
          <cell r="B177" t="str">
            <v>Stir-Fry</v>
          </cell>
          <cell r="D177" t="str">
            <v>wok</v>
          </cell>
        </row>
        <row r="178">
          <cell r="A178">
            <v>243</v>
          </cell>
          <cell r="B178" t="str">
            <v>Broccoli Rice</v>
          </cell>
          <cell r="D178" t="str">
            <v>wok</v>
          </cell>
        </row>
        <row r="179">
          <cell r="A179">
            <v>242</v>
          </cell>
          <cell r="B179" t="str">
            <v>Cauliflower Rice</v>
          </cell>
          <cell r="D179" t="str">
            <v>wok</v>
          </cell>
        </row>
        <row r="180">
          <cell r="A180">
            <v>209</v>
          </cell>
          <cell r="B180" t="str">
            <v>Fried Rice</v>
          </cell>
          <cell r="D180" t="str">
            <v>wok</v>
          </cell>
        </row>
        <row r="181">
          <cell r="A181">
            <v>342</v>
          </cell>
          <cell r="B181" t="str">
            <v>Mushroom &amp; Cabbage Miso Stir-Fry</v>
          </cell>
          <cell r="D181" t="str">
            <v>wok</v>
          </cell>
        </row>
        <row r="182">
          <cell r="A182">
            <v>282</v>
          </cell>
          <cell r="B182" t="str">
            <v>Rice Casserole</v>
          </cell>
          <cell r="C182">
            <v>-1.1000000000000001</v>
          </cell>
          <cell r="D182" t="str">
            <v>wok</v>
          </cell>
        </row>
        <row r="183">
          <cell r="A183">
            <v>58</v>
          </cell>
          <cell r="B183" t="str">
            <v>Spicy Teriyaki Noodles</v>
          </cell>
          <cell r="C183">
            <v>-1.1000000000000001</v>
          </cell>
          <cell r="D183" t="str">
            <v>wok</v>
          </cell>
        </row>
        <row r="184">
          <cell r="A184">
            <v>208</v>
          </cell>
          <cell r="B184" t="str">
            <v>Stir-Fried Bok Choy</v>
          </cell>
          <cell r="C184">
            <v>-1.1000000000000001</v>
          </cell>
          <cell r="D184" t="str">
            <v>wok</v>
          </cell>
        </row>
        <row r="185">
          <cell r="A185">
            <v>256</v>
          </cell>
          <cell r="B185" t="str">
            <v>Sweet &amp; Sour Bok Choy</v>
          </cell>
          <cell r="C185">
            <v>-1.1000000000000001</v>
          </cell>
          <cell r="D185" t="str">
            <v>wok</v>
          </cell>
        </row>
        <row r="186">
          <cell r="A186">
            <v>226</v>
          </cell>
          <cell r="B186" t="str">
            <v>Lentil Patties</v>
          </cell>
          <cell r="C186">
            <v>-1.1000000000000001</v>
          </cell>
          <cell r="D186" t="str">
            <v>Burger</v>
          </cell>
        </row>
        <row r="187">
          <cell r="A187">
            <v>1047</v>
          </cell>
          <cell r="B187" t="str">
            <v>Umami Beast Patties</v>
          </cell>
          <cell r="C187">
            <v>-1.1000000000000001</v>
          </cell>
          <cell r="D187" t="str">
            <v>Burger</v>
          </cell>
        </row>
        <row r="188">
          <cell r="A188">
            <v>1097</v>
          </cell>
          <cell r="B188" t="str">
            <v>Veggie Burgers</v>
          </cell>
          <cell r="C188">
            <v>-1.1000000000000001</v>
          </cell>
          <cell r="D188" t="str">
            <v>Burger</v>
          </cell>
        </row>
        <row r="189">
          <cell r="A189">
            <v>145</v>
          </cell>
          <cell r="B189" t="str">
            <v>Bean Burgers</v>
          </cell>
          <cell r="C189">
            <v>-1.1000000000000001</v>
          </cell>
          <cell r="D189" t="str">
            <v>Burger</v>
          </cell>
        </row>
        <row r="190">
          <cell r="A190">
            <v>222</v>
          </cell>
          <cell r="B190" t="str">
            <v>Beetroot Patties</v>
          </cell>
          <cell r="C190">
            <v>-1.1000000000000001</v>
          </cell>
          <cell r="D190" t="str">
            <v>Burger</v>
          </cell>
        </row>
        <row r="191">
          <cell r="A191">
            <v>220</v>
          </cell>
          <cell r="B191" t="str">
            <v>Black Bean Patties</v>
          </cell>
          <cell r="C191">
            <v>-1.1000000000000001</v>
          </cell>
          <cell r="D191" t="str">
            <v>Burger</v>
          </cell>
        </row>
        <row r="192">
          <cell r="A192">
            <v>221</v>
          </cell>
          <cell r="B192" t="str">
            <v>Chickpea Patties</v>
          </cell>
          <cell r="C192">
            <v>-1.1000000000000001</v>
          </cell>
          <cell r="D192" t="str">
            <v>Burger</v>
          </cell>
        </row>
        <row r="193">
          <cell r="A193">
            <v>332</v>
          </cell>
          <cell r="B193" t="str">
            <v>Pulled Portobello Mushrooms</v>
          </cell>
          <cell r="C193">
            <v>-1.1000000000000001</v>
          </cell>
          <cell r="D193" t="str">
            <v>Burger</v>
          </cell>
        </row>
        <row r="194">
          <cell r="A194">
            <v>67</v>
          </cell>
          <cell r="B194" t="str">
            <v>Quick Rˆsti Patties</v>
          </cell>
          <cell r="C194">
            <v>-1.1000000000000001</v>
          </cell>
          <cell r="D194" t="str">
            <v>Burger</v>
          </cell>
        </row>
        <row r="195">
          <cell r="A195">
            <v>225</v>
          </cell>
          <cell r="B195" t="str">
            <v>Sweet Potato Patties</v>
          </cell>
          <cell r="C195">
            <v>-1.1000000000000001</v>
          </cell>
          <cell r="D195" t="str">
            <v>Burger</v>
          </cell>
        </row>
        <row r="196">
          <cell r="A196">
            <v>1082</v>
          </cell>
          <cell r="B196" t="str">
            <v>Dip</v>
          </cell>
          <cell r="C196">
            <v>-1.1000000000000001</v>
          </cell>
          <cell r="D196" t="str">
            <v>dip</v>
          </cell>
        </row>
        <row r="197">
          <cell r="A197">
            <v>586</v>
          </cell>
          <cell r="B197" t="str">
            <v>Marinated Carrot Slices with Cashew Cream</v>
          </cell>
          <cell r="C197">
            <v>-1.1000000000000001</v>
          </cell>
          <cell r="D197" t="str">
            <v>Dip</v>
          </cell>
        </row>
        <row r="198">
          <cell r="A198">
            <v>596</v>
          </cell>
          <cell r="B198" t="str">
            <v>Marinated Carrot Slices with Cashew Cream</v>
          </cell>
          <cell r="C198">
            <v>-1.1000000000000001</v>
          </cell>
          <cell r="D198" t="str">
            <v>Dip</v>
          </cell>
        </row>
        <row r="199">
          <cell r="A199">
            <v>139</v>
          </cell>
          <cell r="B199" t="str">
            <v>Bean Spread</v>
          </cell>
          <cell r="C199">
            <v>-1.1000000000000001</v>
          </cell>
          <cell r="D199" t="str">
            <v>dip</v>
          </cell>
        </row>
        <row r="200">
          <cell r="A200">
            <v>166</v>
          </cell>
          <cell r="B200" t="str">
            <v>Beetroot Hummus</v>
          </cell>
          <cell r="C200">
            <v>-1.1000000000000001</v>
          </cell>
          <cell r="D200" t="str">
            <v>dip</v>
          </cell>
        </row>
        <row r="201">
          <cell r="A201">
            <v>105</v>
          </cell>
          <cell r="B201" t="str">
            <v>Black Bean Dip</v>
          </cell>
          <cell r="C201">
            <v>-1.1000000000000001</v>
          </cell>
          <cell r="D201" t="str">
            <v>dip</v>
          </cell>
        </row>
        <row r="202">
          <cell r="A202">
            <v>190</v>
          </cell>
          <cell r="B202" t="str">
            <v>Butternut Squash Dip</v>
          </cell>
          <cell r="C202">
            <v>-1.1000000000000001</v>
          </cell>
          <cell r="D202" t="str">
            <v>dip</v>
          </cell>
        </row>
        <row r="203">
          <cell r="A203">
            <v>194</v>
          </cell>
          <cell r="B203" t="str">
            <v>Carrot Dip</v>
          </cell>
          <cell r="C203">
            <v>-1.1000000000000001</v>
          </cell>
          <cell r="D203" t="str">
            <v>dip</v>
          </cell>
        </row>
        <row r="204">
          <cell r="A204">
            <v>1091</v>
          </cell>
          <cell r="B204" t="str">
            <v>Char Siu Marinade</v>
          </cell>
          <cell r="C204">
            <v>-1.1000000000000001</v>
          </cell>
          <cell r="D204" t="str">
            <v>dip</v>
          </cell>
        </row>
        <row r="205">
          <cell r="A205">
            <v>1039</v>
          </cell>
          <cell r="B205" t="str">
            <v>Chutney</v>
          </cell>
          <cell r="C205">
            <v>-1.1000000000000001</v>
          </cell>
          <cell r="D205" t="str">
            <v>dip</v>
          </cell>
        </row>
        <row r="206">
          <cell r="A206">
            <v>1093</v>
          </cell>
          <cell r="B206" t="str">
            <v>Miso Marinade</v>
          </cell>
          <cell r="C206">
            <v>-1.1000000000000001</v>
          </cell>
          <cell r="D206" t="str">
            <v>dip</v>
          </cell>
        </row>
        <row r="207">
          <cell r="A207">
            <v>44</v>
          </cell>
          <cell r="B207" t="str">
            <v>Roasted Veggie Dip</v>
          </cell>
          <cell r="C207">
            <v>-1.1000000000000001</v>
          </cell>
          <cell r="D207" t="str">
            <v>dip</v>
          </cell>
        </row>
        <row r="208">
          <cell r="A208">
            <v>138</v>
          </cell>
          <cell r="B208" t="str">
            <v>Roasted Veggie Spread</v>
          </cell>
          <cell r="C208">
            <v>-1.1000000000000001</v>
          </cell>
          <cell r="D208" t="str">
            <v>dip</v>
          </cell>
        </row>
        <row r="209">
          <cell r="A209">
            <v>146</v>
          </cell>
          <cell r="B209" t="str">
            <v>Spicy Sauce</v>
          </cell>
          <cell r="C209">
            <v>-1.1000000000000001</v>
          </cell>
          <cell r="D209" t="str">
            <v>dip</v>
          </cell>
        </row>
        <row r="210">
          <cell r="A210">
            <v>147</v>
          </cell>
          <cell r="B210" t="str">
            <v>Umami Bomb Sauce</v>
          </cell>
          <cell r="C210">
            <v>-1.1000000000000001</v>
          </cell>
          <cell r="D210" t="str">
            <v>dip</v>
          </cell>
        </row>
        <row r="211">
          <cell r="A211">
            <v>93</v>
          </cell>
          <cell r="B211" t="str">
            <v>Dip</v>
          </cell>
          <cell r="C211">
            <v>-1.1000000000000001</v>
          </cell>
          <cell r="D211" t="str">
            <v>dip</v>
          </cell>
        </row>
        <row r="212">
          <cell r="A212">
            <v>551</v>
          </cell>
          <cell r="B212" t="str">
            <v>Avocado Smash</v>
          </cell>
          <cell r="C212">
            <v>-1.1000000000000001</v>
          </cell>
          <cell r="D212" t="str">
            <v>dip</v>
          </cell>
        </row>
        <row r="213">
          <cell r="A213">
            <v>235</v>
          </cell>
          <cell r="B213" t="str">
            <v>Sweet Potato Fries</v>
          </cell>
          <cell r="C213">
            <v>-1.1000000000000001</v>
          </cell>
          <cell r="D213" t="str">
            <v>Fries</v>
          </cell>
        </row>
        <row r="214">
          <cell r="A214">
            <v>237</v>
          </cell>
          <cell r="B214" t="str">
            <v>Beetroot Fries</v>
          </cell>
          <cell r="C214">
            <v>-1.1000000000000001</v>
          </cell>
          <cell r="D214" t="str">
            <v>Fries</v>
          </cell>
        </row>
        <row r="215">
          <cell r="A215">
            <v>41</v>
          </cell>
          <cell r="B215" t="str">
            <v>Kale Chips</v>
          </cell>
          <cell r="C215">
            <v>-1.1000000000000001</v>
          </cell>
          <cell r="D215" t="str">
            <v>Fries</v>
          </cell>
        </row>
        <row r="216">
          <cell r="A216">
            <v>236</v>
          </cell>
          <cell r="B216" t="str">
            <v>Parsnip Fries</v>
          </cell>
          <cell r="C216">
            <v>-1.1000000000000001</v>
          </cell>
          <cell r="D216" t="str">
            <v>Fries</v>
          </cell>
        </row>
        <row r="217">
          <cell r="A217">
            <v>910</v>
          </cell>
          <cell r="B217" t="str">
            <v>Vegetable Hemp Fritters</v>
          </cell>
          <cell r="C217">
            <v>-1.1000000000000001</v>
          </cell>
          <cell r="D217" t="str">
            <v>Fries</v>
          </cell>
        </row>
        <row r="218">
          <cell r="A218">
            <v>102</v>
          </cell>
          <cell r="B218" t="str">
            <v>Mash</v>
          </cell>
          <cell r="C218">
            <v>-1.1000000000000001</v>
          </cell>
          <cell r="D218" t="str">
            <v>Mash</v>
          </cell>
        </row>
        <row r="219">
          <cell r="A219">
            <v>201</v>
          </cell>
          <cell r="B219" t="str">
            <v>Mashed Potatoes</v>
          </cell>
          <cell r="C219">
            <v>-1.1000000000000001</v>
          </cell>
          <cell r="D219" t="str">
            <v>Mash</v>
          </cell>
        </row>
        <row r="220">
          <cell r="A220">
            <v>197</v>
          </cell>
          <cell r="B220" t="str">
            <v>Butternut Squash Mash</v>
          </cell>
          <cell r="C220">
            <v>-1.1000000000000001</v>
          </cell>
          <cell r="D220" t="str">
            <v>Mash</v>
          </cell>
        </row>
        <row r="221">
          <cell r="A221">
            <v>199</v>
          </cell>
          <cell r="B221" t="str">
            <v>Parsnip Mash</v>
          </cell>
          <cell r="C221">
            <v>-1.1000000000000001</v>
          </cell>
          <cell r="D221" t="str">
            <v>Mash</v>
          </cell>
        </row>
        <row r="222">
          <cell r="A222">
            <v>148</v>
          </cell>
          <cell r="B222" t="str">
            <v>Omelette</v>
          </cell>
          <cell r="D222" t="str">
            <v>Omelette</v>
          </cell>
        </row>
        <row r="223">
          <cell r="A223">
            <v>24</v>
          </cell>
          <cell r="B223" t="str">
            <v>Oven Roasted Vegetables</v>
          </cell>
          <cell r="C223">
            <v>-1.1000000000000001</v>
          </cell>
          <cell r="D223" t="str">
            <v>Oven</v>
          </cell>
        </row>
        <row r="224">
          <cell r="A224">
            <v>89</v>
          </cell>
          <cell r="B224" t="str">
            <v>Quiche</v>
          </cell>
          <cell r="C224">
            <v>-1.1000000000000001</v>
          </cell>
          <cell r="D224" t="str">
            <v>Oven</v>
          </cell>
        </row>
        <row r="225">
          <cell r="A225">
            <v>37</v>
          </cell>
          <cell r="B225" t="str">
            <v>Classic Quiche</v>
          </cell>
          <cell r="C225">
            <v>-1.1000000000000001</v>
          </cell>
          <cell r="D225" t="str">
            <v>Oven</v>
          </cell>
        </row>
        <row r="226">
          <cell r="A226">
            <v>23</v>
          </cell>
          <cell r="B226" t="str">
            <v>Roasted Root Vegetables</v>
          </cell>
          <cell r="C226">
            <v>-1.1000000000000001</v>
          </cell>
          <cell r="D226" t="str">
            <v>Oven</v>
          </cell>
        </row>
        <row r="227">
          <cell r="A227">
            <v>63</v>
          </cell>
          <cell r="B227" t="str">
            <v>Sweet &amp; Sour Eggplant</v>
          </cell>
          <cell r="C227">
            <v>-1.1000000000000001</v>
          </cell>
          <cell r="D227" t="str">
            <v>Oven</v>
          </cell>
        </row>
        <row r="228">
          <cell r="A228">
            <v>544</v>
          </cell>
          <cell r="B228" t="str">
            <v>Open-Faced Sandwich</v>
          </cell>
          <cell r="D228" t="str">
            <v>Sandwich</v>
          </cell>
        </row>
        <row r="229">
          <cell r="A229">
            <v>1161</v>
          </cell>
          <cell r="B229" t="str">
            <v>Savory Crepes</v>
          </cell>
          <cell r="D229" t="str">
            <v>Sandwich</v>
          </cell>
        </row>
        <row r="230">
          <cell r="A230">
            <v>133</v>
          </cell>
          <cell r="B230" t="str">
            <v>Lettuce Wraps</v>
          </cell>
          <cell r="D230" t="str">
            <v>Sandwich</v>
          </cell>
        </row>
        <row r="231">
          <cell r="A231">
            <v>134</v>
          </cell>
          <cell r="B231" t="str">
            <v>Cabbage Wraps</v>
          </cell>
          <cell r="D231" t="str">
            <v>Sandwich</v>
          </cell>
        </row>
        <row r="232">
          <cell r="A232">
            <v>1068</v>
          </cell>
          <cell r="B232" t="str">
            <v>Stuffed Bell Pepper</v>
          </cell>
          <cell r="C232">
            <v>-1.1000000000000001</v>
          </cell>
          <cell r="D232" t="str">
            <v>Stuffed</v>
          </cell>
        </row>
        <row r="233">
          <cell r="A233">
            <v>240</v>
          </cell>
          <cell r="B233" t="str">
            <v>Stuffed Hokkaido Pumpkin</v>
          </cell>
          <cell r="C233">
            <v>-1.1000000000000001</v>
          </cell>
          <cell r="D233" t="str">
            <v>Stuffed</v>
          </cell>
        </row>
        <row r="234">
          <cell r="A234">
            <v>239</v>
          </cell>
          <cell r="B234" t="str">
            <v>Stuffed Portobello Mushroom</v>
          </cell>
          <cell r="C234">
            <v>-1.1000000000000001</v>
          </cell>
          <cell r="D234" t="str">
            <v>Stuffed</v>
          </cell>
        </row>
        <row r="235">
          <cell r="A235">
            <v>143</v>
          </cell>
          <cell r="B235" t="str">
            <v>Stuffed Veggies</v>
          </cell>
          <cell r="C235">
            <v>-1.1000000000000001</v>
          </cell>
          <cell r="D235" t="str">
            <v>Stuffed</v>
          </cell>
        </row>
        <row r="236">
          <cell r="A236">
            <v>72</v>
          </cell>
          <cell r="B236" t="str">
            <v>Smoothie</v>
          </cell>
          <cell r="D236" t="str">
            <v>drinks</v>
          </cell>
        </row>
        <row r="237">
          <cell r="A237">
            <v>34</v>
          </cell>
          <cell r="B237" t="str">
            <v>Porridge</v>
          </cell>
          <cell r="C237">
            <v>-1.1000000000000001</v>
          </cell>
          <cell r="D237" t="str">
            <v xml:space="preserve">Savory </v>
          </cell>
        </row>
        <row r="238">
          <cell r="A238">
            <v>455</v>
          </cell>
          <cell r="B238" t="str">
            <v>Brownies</v>
          </cell>
          <cell r="C238">
            <v>-1.1000000000000001</v>
          </cell>
          <cell r="D238" t="str">
            <v>Baking_verified</v>
          </cell>
        </row>
        <row r="239">
          <cell r="A239">
            <v>501</v>
          </cell>
          <cell r="B239" t="str">
            <v>Cake</v>
          </cell>
          <cell r="C239">
            <v>-1.1000000000000001</v>
          </cell>
          <cell r="D239" t="str">
            <v>Baking_verified</v>
          </cell>
        </row>
        <row r="240">
          <cell r="A240">
            <v>1152</v>
          </cell>
          <cell r="B240" t="str">
            <v>Cheesecake</v>
          </cell>
          <cell r="C240">
            <v>-1.1000000000000001</v>
          </cell>
          <cell r="D240" t="str">
            <v>Baking_verified</v>
          </cell>
        </row>
        <row r="241">
          <cell r="A241">
            <v>393</v>
          </cell>
          <cell r="B241" t="str">
            <v>Classic Cookies</v>
          </cell>
          <cell r="C241">
            <v>-1.1000000000000001</v>
          </cell>
          <cell r="D241" t="str">
            <v>Baking_verified</v>
          </cell>
        </row>
        <row r="242">
          <cell r="A242">
            <v>1150</v>
          </cell>
          <cell r="B242" t="str">
            <v>Fruit-Filled Pie Bars</v>
          </cell>
          <cell r="C242">
            <v>-1.1000000000000001</v>
          </cell>
          <cell r="D242" t="str">
            <v>Baking_verified</v>
          </cell>
        </row>
        <row r="243">
          <cell r="A243">
            <v>584</v>
          </cell>
          <cell r="B243" t="str">
            <v>Pancakes</v>
          </cell>
          <cell r="C243">
            <v>-1.1000000000000001</v>
          </cell>
          <cell r="D243" t="str">
            <v>Baking_verified</v>
          </cell>
        </row>
        <row r="244">
          <cell r="A244">
            <v>383</v>
          </cell>
          <cell r="B244" t="str">
            <v>Bread</v>
          </cell>
          <cell r="C244">
            <v>-1.1000000000000001</v>
          </cell>
          <cell r="D244" t="str">
            <v>Baking_verified</v>
          </cell>
        </row>
        <row r="245">
          <cell r="A245">
            <v>1151</v>
          </cell>
          <cell r="B245" t="str">
            <v>Classic Cheesecake</v>
          </cell>
          <cell r="C245">
            <v>-1.1000000000000001</v>
          </cell>
          <cell r="D245" t="str">
            <v>Baking_verified</v>
          </cell>
        </row>
        <row r="246">
          <cell r="A246">
            <v>403</v>
          </cell>
          <cell r="B246" t="str">
            <v>Fruit Crumble</v>
          </cell>
          <cell r="C246">
            <v>-1.1000000000000001</v>
          </cell>
          <cell r="D246" t="str">
            <v>Baking_verified</v>
          </cell>
        </row>
        <row r="247">
          <cell r="A247">
            <v>1160</v>
          </cell>
          <cell r="B247" t="str">
            <v>Sweet Crepes</v>
          </cell>
          <cell r="C247">
            <v>-1.1000000000000001</v>
          </cell>
          <cell r="D247" t="str">
            <v>Baking_verified</v>
          </cell>
        </row>
        <row r="248">
          <cell r="A248">
            <v>445</v>
          </cell>
          <cell r="B248" t="str">
            <v>Carrot Cake</v>
          </cell>
          <cell r="C248">
            <v>-1.1000000000000001</v>
          </cell>
          <cell r="D248" t="str">
            <v>Baking_verified</v>
          </cell>
        </row>
        <row r="249">
          <cell r="A249">
            <v>437</v>
          </cell>
          <cell r="B249" t="str">
            <v>Carrot Cake Energy Balls</v>
          </cell>
          <cell r="C249">
            <v>-1.1000000000000001</v>
          </cell>
          <cell r="D249" t="str">
            <v>Baking_verified</v>
          </cell>
        </row>
        <row r="250">
          <cell r="A250">
            <v>107</v>
          </cell>
          <cell r="B250" t="str">
            <v>Classic sweet muffin</v>
          </cell>
          <cell r="C250">
            <v>-1.1000000000000001</v>
          </cell>
          <cell r="D250" t="str">
            <v>Baking_verified</v>
          </cell>
        </row>
        <row r="251">
          <cell r="A251">
            <v>96</v>
          </cell>
          <cell r="B251" t="str">
            <v>Chia Porridge</v>
          </cell>
          <cell r="C251">
            <v>-1.1000000000000001</v>
          </cell>
          <cell r="D251" t="str">
            <v>Baking_verified</v>
          </cell>
        </row>
        <row r="252">
          <cell r="A252">
            <v>377</v>
          </cell>
          <cell r="B252" t="str">
            <v>Muffins</v>
          </cell>
          <cell r="C252">
            <v>-1.1000000000000001</v>
          </cell>
          <cell r="D252" t="str">
            <v>Baking_verified</v>
          </cell>
        </row>
        <row r="253">
          <cell r="A253">
            <v>439</v>
          </cell>
          <cell r="B253" t="str">
            <v>Cocoa Energy Bites</v>
          </cell>
          <cell r="C253">
            <v>-1.1000000000000001</v>
          </cell>
          <cell r="D253" t="str">
            <v>Baking_verified</v>
          </cell>
        </row>
        <row r="254">
          <cell r="A254">
            <v>411</v>
          </cell>
          <cell r="B254" t="str">
            <v>Granola Bar</v>
          </cell>
          <cell r="C254">
            <v>-1.1000000000000001</v>
          </cell>
          <cell r="D254" t="str">
            <v>Baking_verified</v>
          </cell>
        </row>
        <row r="255">
          <cell r="A255">
            <v>505</v>
          </cell>
          <cell r="B255" t="str">
            <v>Energy Balls</v>
          </cell>
          <cell r="C255">
            <v>-1.1000000000000001</v>
          </cell>
          <cell r="D255" t="str">
            <v>Baking_verified</v>
          </cell>
        </row>
        <row r="256">
          <cell r="A256">
            <v>775</v>
          </cell>
          <cell r="B256" t="str">
            <v>Swiss roll</v>
          </cell>
          <cell r="C256">
            <v>-1.1000000000000001</v>
          </cell>
          <cell r="D256" t="str">
            <v>Baking_verified</v>
          </cell>
        </row>
        <row r="257">
          <cell r="A257">
            <v>461</v>
          </cell>
          <cell r="B257" t="str">
            <v>Tiramisu</v>
          </cell>
          <cell r="C257">
            <v>-1.1000000000000001</v>
          </cell>
          <cell r="D257" t="str">
            <v>Baking_verified</v>
          </cell>
        </row>
        <row r="258">
          <cell r="A258">
            <v>587</v>
          </cell>
          <cell r="B258" t="str">
            <v>Toast Bread</v>
          </cell>
          <cell r="C258">
            <v>-1.1000000000000001</v>
          </cell>
          <cell r="D258" t="str">
            <v>Baking_verified</v>
          </cell>
        </row>
        <row r="259">
          <cell r="A259">
            <v>36</v>
          </cell>
          <cell r="B259" t="str">
            <v>Tropical Oatmeal</v>
          </cell>
          <cell r="C259">
            <v>-1.1000000000000001</v>
          </cell>
          <cell r="D259" t="str">
            <v>Baking_verified</v>
          </cell>
        </row>
        <row r="260">
          <cell r="A260">
            <v>1154</v>
          </cell>
          <cell r="B260" t="str">
            <v>Swiss Roll</v>
          </cell>
          <cell r="C260">
            <v>-1.1000000000000001</v>
          </cell>
          <cell r="D260" t="str">
            <v>Baking_verified</v>
          </cell>
        </row>
        <row r="261">
          <cell r="A261">
            <v>141</v>
          </cell>
          <cell r="B261" t="str">
            <v>Pickling</v>
          </cell>
          <cell r="C261">
            <v>-1.1000000000000001</v>
          </cell>
        </row>
        <row r="262">
          <cell r="A262">
            <v>389</v>
          </cell>
          <cell r="B262" t="str">
            <v>Banana Protein Bites</v>
          </cell>
          <cell r="C262">
            <v>-1.1000000000000001</v>
          </cell>
          <cell r="D262" t="str">
            <v>Baking</v>
          </cell>
        </row>
        <row r="263">
          <cell r="A263">
            <v>777</v>
          </cell>
          <cell r="B263" t="str">
            <v>Banana slices</v>
          </cell>
          <cell r="C263">
            <v>-1.1000000000000001</v>
          </cell>
          <cell r="D263" t="str">
            <v>Baking</v>
          </cell>
        </row>
        <row r="264">
          <cell r="A264">
            <v>447</v>
          </cell>
          <cell r="B264" t="str">
            <v>Beetroot Choco Cake</v>
          </cell>
          <cell r="C264">
            <v>-1.1000000000000001</v>
          </cell>
          <cell r="D264" t="str">
            <v>Baking</v>
          </cell>
        </row>
        <row r="265">
          <cell r="A265">
            <v>627</v>
          </cell>
          <cell r="B265" t="str">
            <v>Berry Almond Brownie</v>
          </cell>
          <cell r="C265">
            <v>-1.1000000000000001</v>
          </cell>
          <cell r="D265" t="str">
            <v>Baking</v>
          </cell>
        </row>
        <row r="266">
          <cell r="A266">
            <v>628</v>
          </cell>
          <cell r="B266" t="str">
            <v>Berry Almond Brownies</v>
          </cell>
          <cell r="C266">
            <v>-1.1000000000000001</v>
          </cell>
          <cell r="D266" t="str">
            <v>Baking</v>
          </cell>
        </row>
        <row r="267">
          <cell r="A267">
            <v>467</v>
          </cell>
          <cell r="B267" t="str">
            <v>Berry Muffins</v>
          </cell>
          <cell r="C267">
            <v>-1.1000000000000001</v>
          </cell>
          <cell r="D267" t="str">
            <v>Baking</v>
          </cell>
        </row>
        <row r="268">
          <cell r="A268">
            <v>457</v>
          </cell>
          <cell r="B268" t="str">
            <v>Black Bean Brownies</v>
          </cell>
          <cell r="C268">
            <v>-1.1000000000000001</v>
          </cell>
          <cell r="D268" t="str">
            <v>Baking</v>
          </cell>
        </row>
        <row r="269">
          <cell r="A269">
            <v>1149</v>
          </cell>
          <cell r="B269" t="str">
            <v>Bread Buns</v>
          </cell>
          <cell r="C269">
            <v>-1.1000000000000001</v>
          </cell>
          <cell r="D269" t="str">
            <v>Baking</v>
          </cell>
        </row>
        <row r="270">
          <cell r="A270">
            <v>421</v>
          </cell>
          <cell r="B270" t="str">
            <v>Bread Pudding Dessert</v>
          </cell>
          <cell r="C270">
            <v>-1.1000000000000001</v>
          </cell>
          <cell r="D270" t="str">
            <v>Baking</v>
          </cell>
        </row>
        <row r="271">
          <cell r="A271">
            <v>481</v>
          </cell>
          <cell r="B271" t="str">
            <v>Breakfast Buns</v>
          </cell>
          <cell r="C271">
            <v>-1.1000000000000001</v>
          </cell>
          <cell r="D271" t="str">
            <v>Baking</v>
          </cell>
        </row>
        <row r="272">
          <cell r="A272">
            <v>743</v>
          </cell>
          <cell r="B272" t="str">
            <v>Buchteln</v>
          </cell>
          <cell r="C272">
            <v>-1.1000000000000001</v>
          </cell>
          <cell r="D272" t="str">
            <v>Baking</v>
          </cell>
        </row>
        <row r="273">
          <cell r="A273">
            <v>1045</v>
          </cell>
          <cell r="B273" t="str">
            <v>Muffins</v>
          </cell>
          <cell r="C273">
            <v>-1.1000000000000001</v>
          </cell>
          <cell r="D273" t="str">
            <v xml:space="preserve">Savory </v>
          </cell>
        </row>
        <row r="274">
          <cell r="A274">
            <v>1153</v>
          </cell>
          <cell r="B274" t="str">
            <v>Bundt Cake</v>
          </cell>
          <cell r="C274">
            <v>-1.1000000000000001</v>
          </cell>
          <cell r="D274" t="str">
            <v>Baking</v>
          </cell>
        </row>
        <row r="275">
          <cell r="A275">
            <v>667</v>
          </cell>
          <cell r="B275" t="str">
            <v>Chia Pudding</v>
          </cell>
          <cell r="C275">
            <v>-1.1000000000000001</v>
          </cell>
          <cell r="D275" t="str">
            <v>Baking</v>
          </cell>
        </row>
        <row r="276">
          <cell r="A276">
            <v>826</v>
          </cell>
          <cell r="B276" t="str">
            <v>Choco Berry Muffins</v>
          </cell>
          <cell r="C276">
            <v>-1.1000000000000001</v>
          </cell>
          <cell r="D276" t="str">
            <v>Baking</v>
          </cell>
        </row>
        <row r="277">
          <cell r="A277">
            <v>600</v>
          </cell>
          <cell r="B277" t="str">
            <v>Chocolate Brownie</v>
          </cell>
          <cell r="C277">
            <v>-1.1000000000000001</v>
          </cell>
          <cell r="D277" t="str">
            <v>Baking</v>
          </cell>
        </row>
        <row r="278">
          <cell r="A278">
            <v>429</v>
          </cell>
          <cell r="B278" t="str">
            <v>Chocolate Chip Banana Bread</v>
          </cell>
          <cell r="C278">
            <v>-1.1000000000000001</v>
          </cell>
          <cell r="D278" t="str">
            <v>Baking</v>
          </cell>
        </row>
        <row r="279">
          <cell r="A279">
            <v>687</v>
          </cell>
          <cell r="B279" t="str">
            <v>Chocolate Mousse</v>
          </cell>
          <cell r="C279">
            <v>-1.1000000000000001</v>
          </cell>
          <cell r="D279" t="str">
            <v>Baking</v>
          </cell>
        </row>
        <row r="280">
          <cell r="A280">
            <v>477</v>
          </cell>
          <cell r="B280" t="str">
            <v>Cinnamon Swirls</v>
          </cell>
          <cell r="C280">
            <v>-1.1000000000000001</v>
          </cell>
          <cell r="D280" t="str">
            <v>Baking</v>
          </cell>
        </row>
        <row r="281">
          <cell r="A281">
            <v>685</v>
          </cell>
          <cell r="B281" t="str">
            <v>Classic bundt cake</v>
          </cell>
          <cell r="C281">
            <v>-1.1000000000000001</v>
          </cell>
          <cell r="D281" t="str">
            <v>Baking</v>
          </cell>
        </row>
        <row r="282">
          <cell r="A282">
            <v>676</v>
          </cell>
          <cell r="B282" t="str">
            <v>Classic bundt cake</v>
          </cell>
          <cell r="C282">
            <v>-1.1000000000000001</v>
          </cell>
          <cell r="D282" t="str">
            <v>Baking</v>
          </cell>
        </row>
        <row r="283">
          <cell r="A283">
            <v>391</v>
          </cell>
          <cell r="B283" t="str">
            <v>Classic Cheesecake</v>
          </cell>
          <cell r="C283">
            <v>-1.1000000000000001</v>
          </cell>
          <cell r="D283" t="str">
            <v>Baking</v>
          </cell>
        </row>
        <row r="284">
          <cell r="A284">
            <v>375</v>
          </cell>
          <cell r="B284" t="str">
            <v>Cocoa Muffins</v>
          </cell>
          <cell r="C284">
            <v>-1.1000000000000001</v>
          </cell>
          <cell r="D284" t="str">
            <v>Baking</v>
          </cell>
        </row>
        <row r="285">
          <cell r="A285">
            <v>433</v>
          </cell>
          <cell r="B285" t="str">
            <v>Coconut Muesli Bar</v>
          </cell>
          <cell r="C285">
            <v>-1.1000000000000001</v>
          </cell>
          <cell r="D285" t="str">
            <v>Baking</v>
          </cell>
        </row>
        <row r="286">
          <cell r="A286">
            <v>407</v>
          </cell>
          <cell r="B286" t="str">
            <v>Coconut Pecan Granola</v>
          </cell>
          <cell r="C286">
            <v>-1.1000000000000001</v>
          </cell>
          <cell r="D286" t="str">
            <v>Baking</v>
          </cell>
        </row>
        <row r="287">
          <cell r="A287">
            <v>684</v>
          </cell>
          <cell r="B287" t="str">
            <v>Covered apple pie</v>
          </cell>
          <cell r="C287">
            <v>-1.1000000000000001</v>
          </cell>
          <cell r="D287" t="str">
            <v>Baking</v>
          </cell>
        </row>
        <row r="288">
          <cell r="A288">
            <v>431</v>
          </cell>
          <cell r="B288" t="str">
            <v>Cranberry Almond Granola Bar</v>
          </cell>
          <cell r="C288">
            <v>-1.1000000000000001</v>
          </cell>
          <cell r="D288" t="str">
            <v>Baking</v>
          </cell>
        </row>
        <row r="289">
          <cell r="A289">
            <v>695</v>
          </cell>
          <cell r="B289" t="str">
            <v>Creamy Baileys Mascarpone Dip</v>
          </cell>
          <cell r="C289">
            <v>-1.1000000000000001</v>
          </cell>
          <cell r="D289" t="str">
            <v>Baking</v>
          </cell>
        </row>
        <row r="290">
          <cell r="A290">
            <v>658</v>
          </cell>
          <cell r="B290" t="str">
            <v>Dark Romance Infused Pancakes</v>
          </cell>
          <cell r="C290">
            <v>-1.1000000000000001</v>
          </cell>
          <cell r="D290" t="str">
            <v>Baking</v>
          </cell>
        </row>
        <row r="291">
          <cell r="A291">
            <v>453</v>
          </cell>
          <cell r="B291" t="str">
            <v>Espresso Chocolate Cake</v>
          </cell>
          <cell r="C291">
            <v>-1.1000000000000001</v>
          </cell>
          <cell r="D291" t="str">
            <v>Baking</v>
          </cell>
        </row>
        <row r="292">
          <cell r="A292">
            <v>1157</v>
          </cell>
          <cell r="B292" t="str">
            <v>French Toast</v>
          </cell>
          <cell r="C292">
            <v>-1.1000000000000001</v>
          </cell>
          <cell r="D292" t="str">
            <v>Baking</v>
          </cell>
        </row>
        <row r="293">
          <cell r="A293">
            <v>417</v>
          </cell>
          <cell r="B293" t="str">
            <v>Fruit &amp; Cream Cake</v>
          </cell>
          <cell r="C293">
            <v>-1.1000000000000001</v>
          </cell>
          <cell r="D293" t="str">
            <v>Baking</v>
          </cell>
        </row>
        <row r="294">
          <cell r="A294">
            <v>621</v>
          </cell>
          <cell r="B294" t="str">
            <v>Gingerbread cookies</v>
          </cell>
          <cell r="C294">
            <v>-1.1000000000000001</v>
          </cell>
          <cell r="D294" t="str">
            <v>Baking</v>
          </cell>
        </row>
        <row r="295">
          <cell r="A295">
            <v>1148</v>
          </cell>
          <cell r="B295" t="str">
            <v>Gluten Free Bread</v>
          </cell>
          <cell r="C295">
            <v>-1.1000000000000001</v>
          </cell>
          <cell r="D295" t="str">
            <v>Baking</v>
          </cell>
        </row>
        <row r="296">
          <cell r="A296">
            <v>517</v>
          </cell>
          <cell r="B296" t="str">
            <v>Gluten Free "Rye Bread"</v>
          </cell>
          <cell r="C296">
            <v>-1.1000000000000001</v>
          </cell>
          <cell r="D296" t="str">
            <v>Baking</v>
          </cell>
        </row>
        <row r="297">
          <cell r="A297">
            <v>419</v>
          </cell>
          <cell r="B297" t="str">
            <v>Gluten-Free Seed Crackers</v>
          </cell>
          <cell r="C297">
            <v>-1.1000000000000001</v>
          </cell>
          <cell r="D297" t="str">
            <v>Baking</v>
          </cell>
        </row>
        <row r="298">
          <cell r="A298">
            <v>672</v>
          </cell>
          <cell r="B298" t="str">
            <v>Grandma's Carinthian cake</v>
          </cell>
          <cell r="C298">
            <v>-1.1000000000000001</v>
          </cell>
          <cell r="D298" t="str">
            <v>Baking</v>
          </cell>
        </row>
        <row r="299">
          <cell r="A299">
            <v>683</v>
          </cell>
          <cell r="B299" t="str">
            <v>Grandma's Carinthian cake</v>
          </cell>
          <cell r="C299">
            <v>-1.1000000000000001</v>
          </cell>
          <cell r="D299" t="str">
            <v>Baking</v>
          </cell>
        </row>
        <row r="300">
          <cell r="A300">
            <v>110</v>
          </cell>
          <cell r="B300" t="str">
            <v>Healthy Muffin</v>
          </cell>
          <cell r="C300">
            <v>-1.1000000000000001</v>
          </cell>
          <cell r="D300" t="str">
            <v>Baking</v>
          </cell>
        </row>
        <row r="301">
          <cell r="A301">
            <v>245</v>
          </cell>
          <cell r="B301" t="str">
            <v>Homemade Pizza Dough</v>
          </cell>
          <cell r="C301">
            <v>-1.1000000000000001</v>
          </cell>
          <cell r="D301" t="str">
            <v>Baking</v>
          </cell>
        </row>
        <row r="302">
          <cell r="A302">
            <v>367</v>
          </cell>
          <cell r="B302" t="str">
            <v>JalapeÒo Corn Muffins</v>
          </cell>
          <cell r="C302">
            <v>-1.1000000000000001</v>
          </cell>
          <cell r="D302" t="str">
            <v>Baking</v>
          </cell>
        </row>
        <row r="303">
          <cell r="A303">
            <v>689</v>
          </cell>
          <cell r="B303" t="str">
            <v>Key Lime Pie</v>
          </cell>
          <cell r="C303">
            <v>-1.1000000000000001</v>
          </cell>
          <cell r="D303" t="str">
            <v>Baking</v>
          </cell>
        </row>
        <row r="304">
          <cell r="A304">
            <v>745</v>
          </cell>
          <cell r="B304" t="str">
            <v>Layered cream cake</v>
          </cell>
          <cell r="C304">
            <v>-1.1000000000000001</v>
          </cell>
          <cell r="D304" t="str">
            <v>Baking</v>
          </cell>
        </row>
        <row r="305">
          <cell r="A305">
            <v>441</v>
          </cell>
          <cell r="B305" t="str">
            <v>Lemon Coconut Energy Balls</v>
          </cell>
          <cell r="C305">
            <v>-1.1000000000000001</v>
          </cell>
          <cell r="D305" t="str">
            <v>Baking</v>
          </cell>
        </row>
        <row r="306">
          <cell r="A306">
            <v>718</v>
          </cell>
          <cell r="B306" t="str">
            <v>Lemon poppy seed cake</v>
          </cell>
          <cell r="C306">
            <v>-1.1000000000000001</v>
          </cell>
          <cell r="D306" t="str">
            <v>Baking</v>
          </cell>
        </row>
        <row r="307">
          <cell r="A307">
            <v>813</v>
          </cell>
          <cell r="B307" t="str">
            <v>Muffins</v>
          </cell>
          <cell r="C307">
            <v>-1.1000000000000001</v>
          </cell>
          <cell r="D307" t="str">
            <v>Baking</v>
          </cell>
        </row>
        <row r="308">
          <cell r="A308">
            <v>575</v>
          </cell>
          <cell r="B308" t="str">
            <v>Mushroom Toast</v>
          </cell>
          <cell r="C308">
            <v>-1.1000000000000001</v>
          </cell>
          <cell r="D308" t="str">
            <v>Baking</v>
          </cell>
        </row>
        <row r="309">
          <cell r="A309">
            <v>681</v>
          </cell>
          <cell r="B309" t="str">
            <v>New York Cheesecake</v>
          </cell>
          <cell r="C309">
            <v>-1.1000000000000001</v>
          </cell>
          <cell r="D309" t="str">
            <v>Baking</v>
          </cell>
        </row>
        <row r="310">
          <cell r="A310">
            <v>671</v>
          </cell>
          <cell r="B310" t="str">
            <v>New York Cheesecake</v>
          </cell>
          <cell r="C310">
            <v>-1.1000000000000001</v>
          </cell>
          <cell r="D310" t="str">
            <v>Baking</v>
          </cell>
        </row>
        <row r="311">
          <cell r="A311">
            <v>401</v>
          </cell>
          <cell r="B311" t="str">
            <v>No-bake Cheesecake</v>
          </cell>
          <cell r="C311">
            <v>-1.1000000000000001</v>
          </cell>
          <cell r="D311" t="str">
            <v>Baking</v>
          </cell>
        </row>
        <row r="312">
          <cell r="A312">
            <v>373</v>
          </cell>
          <cell r="B312" t="str">
            <v>No Processed Sugar Muffins</v>
          </cell>
          <cell r="C312">
            <v>-1.1000000000000001</v>
          </cell>
          <cell r="D312" t="str">
            <v>Baking</v>
          </cell>
        </row>
        <row r="313">
          <cell r="A313">
            <v>397</v>
          </cell>
          <cell r="B313" t="str">
            <v>Nut Butter Cookies</v>
          </cell>
          <cell r="C313">
            <v>-1.1000000000000001</v>
          </cell>
          <cell r="D313" t="str">
            <v>Baking</v>
          </cell>
        </row>
        <row r="314">
          <cell r="A314">
            <v>465</v>
          </cell>
          <cell r="B314" t="str">
            <v>Nutty Chocolate Muffins</v>
          </cell>
          <cell r="C314">
            <v>-1.1000000000000001</v>
          </cell>
          <cell r="D314" t="str">
            <v>Baking</v>
          </cell>
        </row>
        <row r="315">
          <cell r="A315">
            <v>379</v>
          </cell>
          <cell r="B315" t="str">
            <v>Oat Muffins</v>
          </cell>
          <cell r="C315">
            <v>-1.1000000000000001</v>
          </cell>
          <cell r="D315" t="str">
            <v>Baking</v>
          </cell>
        </row>
        <row r="316">
          <cell r="A316">
            <v>73</v>
          </cell>
          <cell r="B316" t="str">
            <v>Overnight Oats</v>
          </cell>
          <cell r="C316">
            <v>-1.1000000000000001</v>
          </cell>
          <cell r="D316" t="str">
            <v>Baking</v>
          </cell>
        </row>
        <row r="317">
          <cell r="A317">
            <v>907</v>
          </cell>
          <cell r="B317" t="str">
            <v>Overnight Oats with Hemp</v>
          </cell>
          <cell r="C317">
            <v>-1.1000000000000001</v>
          </cell>
          <cell r="D317" t="str">
            <v>Baking</v>
          </cell>
        </row>
        <row r="318">
          <cell r="A318">
            <v>435</v>
          </cell>
          <cell r="B318" t="str">
            <v>Peanut Butter Bars</v>
          </cell>
          <cell r="C318">
            <v>-1.1000000000000001</v>
          </cell>
          <cell r="D318" t="str">
            <v>Baking</v>
          </cell>
        </row>
        <row r="319">
          <cell r="A319">
            <v>479</v>
          </cell>
          <cell r="B319" t="str">
            <v>Pesto Garlic Swirls</v>
          </cell>
          <cell r="C319">
            <v>-1.1000000000000001</v>
          </cell>
          <cell r="D319" t="str">
            <v>Baking</v>
          </cell>
        </row>
        <row r="320">
          <cell r="A320">
            <v>449</v>
          </cell>
          <cell r="B320" t="str">
            <v>Pumpkin Nut Cake</v>
          </cell>
          <cell r="C320">
            <v>-1.1000000000000001</v>
          </cell>
          <cell r="D320" t="str">
            <v>Baking</v>
          </cell>
        </row>
        <row r="321">
          <cell r="A321">
            <v>511</v>
          </cell>
          <cell r="B321" t="str">
            <v>Quick Soda Bread</v>
          </cell>
          <cell r="C321">
            <v>-1.1000000000000001</v>
          </cell>
          <cell r="D321" t="str">
            <v>Baking</v>
          </cell>
        </row>
        <row r="322">
          <cell r="A322">
            <v>713</v>
          </cell>
          <cell r="B322" t="str">
            <v>Red Velvet Cake</v>
          </cell>
          <cell r="C322">
            <v>-1.1000000000000001</v>
          </cell>
          <cell r="D322" t="str">
            <v>Baking</v>
          </cell>
        </row>
        <row r="323">
          <cell r="A323">
            <v>1023</v>
          </cell>
          <cell r="B323" t="str">
            <v>Rhubarb and mango jam</v>
          </cell>
          <cell r="C323">
            <v>-1.1000000000000001</v>
          </cell>
          <cell r="D323" t="str">
            <v>Baking</v>
          </cell>
        </row>
        <row r="324">
          <cell r="A324">
            <v>413</v>
          </cell>
          <cell r="B324" t="str">
            <v>Rhubarb Cake</v>
          </cell>
          <cell r="C324">
            <v>-1.1000000000000001</v>
          </cell>
          <cell r="D324" t="str">
            <v>Baking</v>
          </cell>
        </row>
        <row r="325">
          <cell r="A325">
            <v>1028</v>
          </cell>
          <cell r="B325" t="str">
            <v>Rhubarb curd</v>
          </cell>
          <cell r="C325">
            <v>-1.1000000000000001</v>
          </cell>
          <cell r="D325" t="str">
            <v>Baking</v>
          </cell>
        </row>
        <row r="326">
          <cell r="A326">
            <v>1027</v>
          </cell>
          <cell r="B326" t="str">
            <v>Rhubarb jelly with elderflower</v>
          </cell>
          <cell r="C326">
            <v>-1.1000000000000001</v>
          </cell>
          <cell r="D326" t="str">
            <v>Baking</v>
          </cell>
        </row>
        <row r="327">
          <cell r="A327">
            <v>871</v>
          </cell>
          <cell r="B327" t="str">
            <v>Rhubarb syrup</v>
          </cell>
          <cell r="C327">
            <v>-1.1000000000000001</v>
          </cell>
          <cell r="D327" t="str">
            <v>Baking</v>
          </cell>
        </row>
        <row r="328">
          <cell r="A328">
            <v>711</v>
          </cell>
          <cell r="B328" t="str">
            <v>Rice Pudding</v>
          </cell>
          <cell r="C328">
            <v>-1.1000000000000001</v>
          </cell>
          <cell r="D328" t="str">
            <v>Baking</v>
          </cell>
        </row>
        <row r="329">
          <cell r="A329">
            <v>38</v>
          </cell>
          <cell r="B329" t="str">
            <v>Root Vegetable Muffins</v>
          </cell>
          <cell r="C329">
            <v>-1.1000000000000001</v>
          </cell>
          <cell r="D329" t="str">
            <v>Baking</v>
          </cell>
        </row>
        <row r="330">
          <cell r="A330">
            <v>579</v>
          </cell>
          <cell r="B330" t="str">
            <v>Rye Bread</v>
          </cell>
          <cell r="C330">
            <v>-1.1000000000000001</v>
          </cell>
          <cell r="D330" t="str">
            <v>Baking</v>
          </cell>
        </row>
        <row r="331">
          <cell r="A331">
            <v>515</v>
          </cell>
          <cell r="B331" t="str">
            <v>Rye Bread</v>
          </cell>
          <cell r="C331">
            <v>-1.1000000000000001</v>
          </cell>
          <cell r="D331" t="str">
            <v>Baking</v>
          </cell>
        </row>
        <row r="332">
          <cell r="A332">
            <v>409</v>
          </cell>
          <cell r="B332" t="str">
            <v>Rye Sesame Seed Crackers</v>
          </cell>
          <cell r="C332">
            <v>-1.1000000000000001</v>
          </cell>
          <cell r="D332" t="str">
            <v>Baking</v>
          </cell>
        </row>
        <row r="333">
          <cell r="A333">
            <v>423</v>
          </cell>
          <cell r="B333" t="str">
            <v>Savory Bread Pudding</v>
          </cell>
          <cell r="C333">
            <v>-1.1000000000000001</v>
          </cell>
          <cell r="D333" t="str">
            <v>Baking</v>
          </cell>
        </row>
        <row r="334">
          <cell r="A334">
            <v>387</v>
          </cell>
          <cell r="B334" t="str">
            <v>Savory Crepes</v>
          </cell>
          <cell r="C334">
            <v>-1.1000000000000001</v>
          </cell>
          <cell r="D334" t="str">
            <v>Baking</v>
          </cell>
        </row>
        <row r="335">
          <cell r="A335">
            <v>497</v>
          </cell>
          <cell r="B335" t="str">
            <v>Savory Zucchini Muffins</v>
          </cell>
          <cell r="C335">
            <v>-1.1000000000000001</v>
          </cell>
          <cell r="D335" t="str">
            <v>Baking</v>
          </cell>
        </row>
        <row r="336">
          <cell r="A336">
            <v>425</v>
          </cell>
          <cell r="B336" t="str">
            <v>Scones</v>
          </cell>
          <cell r="C336">
            <v>-1.1000000000000001</v>
          </cell>
          <cell r="D336" t="str">
            <v>Baking</v>
          </cell>
        </row>
        <row r="337">
          <cell r="A337">
            <v>712</v>
          </cell>
          <cell r="B337" t="str">
            <v>Sesame Snaps</v>
          </cell>
          <cell r="C337">
            <v>-1.1000000000000001</v>
          </cell>
          <cell r="D337" t="str">
            <v>Baking</v>
          </cell>
        </row>
        <row r="338">
          <cell r="A338">
            <v>574</v>
          </cell>
          <cell r="B338" t="str">
            <v>Simple Paleo Cupcake</v>
          </cell>
          <cell r="C338">
            <v>-1.1000000000000001</v>
          </cell>
          <cell r="D338" t="str">
            <v>Baking</v>
          </cell>
        </row>
        <row r="339">
          <cell r="A339">
            <v>625</v>
          </cell>
          <cell r="B339" t="str">
            <v>Snowball coconut bites</v>
          </cell>
          <cell r="C339">
            <v>-1.1000000000000001</v>
          </cell>
          <cell r="D339" t="str">
            <v>Baking</v>
          </cell>
        </row>
        <row r="340">
          <cell r="A340">
            <v>385</v>
          </cell>
          <cell r="B340" t="str">
            <v>sourdough bread</v>
          </cell>
          <cell r="C340">
            <v>-1.1000000000000001</v>
          </cell>
          <cell r="D340" t="str">
            <v>Baking</v>
          </cell>
        </row>
        <row r="341">
          <cell r="A341">
            <v>509</v>
          </cell>
          <cell r="B341" t="str">
            <v>Sourdough Rye Bread</v>
          </cell>
          <cell r="C341">
            <v>-1.1000000000000001</v>
          </cell>
          <cell r="D341" t="str">
            <v>Baking</v>
          </cell>
        </row>
        <row r="342">
          <cell r="A342">
            <v>677</v>
          </cell>
          <cell r="B342" t="str">
            <v>Strawberry Traybake Cake</v>
          </cell>
          <cell r="C342">
            <v>-1.1000000000000001</v>
          </cell>
          <cell r="D342" t="str">
            <v>Baking</v>
          </cell>
        </row>
        <row r="343">
          <cell r="A343">
            <v>415</v>
          </cell>
          <cell r="B343" t="str">
            <v>Vegan Apple Cake</v>
          </cell>
          <cell r="C343">
            <v>-1.1000000000000001</v>
          </cell>
          <cell r="D343" t="str">
            <v>Baking</v>
          </cell>
        </row>
        <row r="344">
          <cell r="A344">
            <v>405</v>
          </cell>
          <cell r="B344" t="str">
            <v>Vegan Banana Bread</v>
          </cell>
          <cell r="C344">
            <v>-1.1000000000000001</v>
          </cell>
          <cell r="D344" t="str">
            <v>Baking</v>
          </cell>
        </row>
        <row r="345">
          <cell r="A345">
            <v>399</v>
          </cell>
          <cell r="B345" t="str">
            <v>Vegan Cheesecake</v>
          </cell>
          <cell r="C345">
            <v>-1.1000000000000001</v>
          </cell>
          <cell r="D345" t="str">
            <v>Baking</v>
          </cell>
        </row>
        <row r="346">
          <cell r="A346">
            <v>326</v>
          </cell>
          <cell r="B346" t="str">
            <v>Vegan Chia Pudding</v>
          </cell>
          <cell r="C346">
            <v>-1.1000000000000001</v>
          </cell>
          <cell r="D346" t="str">
            <v>Baking</v>
          </cell>
        </row>
        <row r="347">
          <cell r="A347">
            <v>395</v>
          </cell>
          <cell r="B347" t="str">
            <v>Vegan Cookies</v>
          </cell>
          <cell r="C347">
            <v>-1.1000000000000001</v>
          </cell>
          <cell r="D347" t="str">
            <v>Baking</v>
          </cell>
        </row>
        <row r="348">
          <cell r="A348">
            <v>109</v>
          </cell>
          <cell r="B348" t="str">
            <v>Vegan Muffin</v>
          </cell>
          <cell r="C348">
            <v>-1.1000000000000001</v>
          </cell>
          <cell r="D348" t="str">
            <v>Baking</v>
          </cell>
        </row>
        <row r="349">
          <cell r="A349">
            <v>371</v>
          </cell>
          <cell r="B349" t="str">
            <v>Vegan Muffins</v>
          </cell>
          <cell r="C349">
            <v>-1.1000000000000001</v>
          </cell>
          <cell r="D349" t="str">
            <v>Baking</v>
          </cell>
        </row>
        <row r="350">
          <cell r="A350">
            <v>567</v>
          </cell>
          <cell r="B350" t="str">
            <v>Vegan pesto swirls</v>
          </cell>
          <cell r="C350">
            <v>-1.1000000000000001</v>
          </cell>
          <cell r="D350" t="str">
            <v>Baking</v>
          </cell>
        </row>
        <row r="351">
          <cell r="A351">
            <v>513</v>
          </cell>
          <cell r="B351" t="str">
            <v>Vegan Quick Soda Bread</v>
          </cell>
          <cell r="C351">
            <v>-1.1000000000000001</v>
          </cell>
          <cell r="D351" t="str">
            <v>Baking</v>
          </cell>
        </row>
        <row r="352">
          <cell r="A352">
            <v>427</v>
          </cell>
          <cell r="B352" t="str">
            <v>Vegan Tiramisu</v>
          </cell>
          <cell r="C352">
            <v>-1.1000000000000001</v>
          </cell>
          <cell r="D352" t="str">
            <v>Baking</v>
          </cell>
        </row>
        <row r="353">
          <cell r="A353">
            <v>469</v>
          </cell>
          <cell r="B353" t="str">
            <v>Vegetable Muffin</v>
          </cell>
          <cell r="C353">
            <v>-1.1000000000000001</v>
          </cell>
          <cell r="D353" t="str">
            <v>Baking</v>
          </cell>
        </row>
        <row r="354">
          <cell r="A354">
            <v>493</v>
          </cell>
          <cell r="B354" t="str">
            <v>Vegetable Pancake</v>
          </cell>
          <cell r="C354">
            <v>-1.1000000000000001</v>
          </cell>
          <cell r="D354" t="str">
            <v>Baking</v>
          </cell>
        </row>
        <row r="355">
          <cell r="A355">
            <v>471</v>
          </cell>
          <cell r="B355" t="str">
            <v>Waffles</v>
          </cell>
          <cell r="C355">
            <v>-1.1000000000000001</v>
          </cell>
          <cell r="D355" t="str">
            <v>Baking</v>
          </cell>
        </row>
        <row r="356">
          <cell r="A356">
            <v>673</v>
          </cell>
          <cell r="B356" t="str">
            <v>Covered apple pie</v>
          </cell>
          <cell r="C356">
            <v>-1.1000000000000001</v>
          </cell>
          <cell r="D356" t="str">
            <v>Baking</v>
          </cell>
        </row>
        <row r="357">
          <cell r="A357">
            <v>219</v>
          </cell>
          <cell r="B357" t="str">
            <v>Vegan Smoothie</v>
          </cell>
          <cell r="D357" t="str">
            <v>drinks</v>
          </cell>
        </row>
        <row r="358">
          <cell r="A358">
            <v>1088</v>
          </cell>
          <cell r="B358" t="str">
            <v>Elderflower Jelly</v>
          </cell>
          <cell r="C358">
            <v>-1.1000000000000001</v>
          </cell>
          <cell r="D358" t="str">
            <v>jam</v>
          </cell>
        </row>
        <row r="359">
          <cell r="A359">
            <v>1135</v>
          </cell>
          <cell r="B359" t="str">
            <v>Elderflower Jelly</v>
          </cell>
          <cell r="C359">
            <v>-1.1000000000000001</v>
          </cell>
          <cell r="D359" t="str">
            <v>jam</v>
          </cell>
        </row>
        <row r="360">
          <cell r="A360">
            <v>1105</v>
          </cell>
          <cell r="B360" t="str">
            <v>Elderflower Jelly</v>
          </cell>
          <cell r="C360">
            <v>-1.1000000000000001</v>
          </cell>
          <cell r="D360" t="str">
            <v>jam</v>
          </cell>
        </row>
        <row r="361">
          <cell r="A361">
            <v>1042</v>
          </cell>
          <cell r="B361" t="str">
            <v>Elderflower Preserves</v>
          </cell>
          <cell r="C361">
            <v>-1.1000000000000001</v>
          </cell>
          <cell r="D361" t="str">
            <v>jam</v>
          </cell>
        </row>
        <row r="362">
          <cell r="A362">
            <v>1025</v>
          </cell>
          <cell r="B362" t="str">
            <v>Fizzy rhubarb jam</v>
          </cell>
          <cell r="C362">
            <v>-1.1000000000000001</v>
          </cell>
          <cell r="D362" t="str">
            <v>jam</v>
          </cell>
        </row>
        <row r="363">
          <cell r="A363">
            <v>983</v>
          </cell>
          <cell r="B363" t="str">
            <v>Fruit Compote</v>
          </cell>
          <cell r="C363">
            <v>-1.1000000000000001</v>
          </cell>
          <cell r="D363" t="str">
            <v>jam</v>
          </cell>
        </row>
        <row r="364">
          <cell r="A364">
            <v>950</v>
          </cell>
          <cell r="B364" t="str">
            <v>Fruit Preserve</v>
          </cell>
          <cell r="C364">
            <v>-1.1000000000000001</v>
          </cell>
          <cell r="D364" t="str">
            <v>jam</v>
          </cell>
        </row>
        <row r="365">
          <cell r="A365">
            <v>1106</v>
          </cell>
          <cell r="B365" t="str">
            <v>Fruity Jam</v>
          </cell>
          <cell r="C365">
            <v>-1.1000000000000001</v>
          </cell>
          <cell r="D365" t="str">
            <v>jam</v>
          </cell>
        </row>
        <row r="366">
          <cell r="A366">
            <v>1032</v>
          </cell>
          <cell r="B366" t="str">
            <v>Fruity Jam</v>
          </cell>
          <cell r="C366">
            <v>-1.1000000000000001</v>
          </cell>
          <cell r="D366" t="str">
            <v>jam</v>
          </cell>
        </row>
        <row r="367">
          <cell r="A367">
            <v>1031</v>
          </cell>
          <cell r="B367" t="str">
            <v>Fruity Jam</v>
          </cell>
          <cell r="C367">
            <v>-1.1000000000000001</v>
          </cell>
          <cell r="D367" t="str">
            <v>jam</v>
          </cell>
        </row>
        <row r="368">
          <cell r="A368">
            <v>1137</v>
          </cell>
          <cell r="B368" t="str">
            <v>Fruity Jam</v>
          </cell>
          <cell r="C368">
            <v>-1.1000000000000001</v>
          </cell>
          <cell r="D368" t="str">
            <v>jam</v>
          </cell>
        </row>
        <row r="369">
          <cell r="A369">
            <v>1136</v>
          </cell>
          <cell r="B369" t="str">
            <v>Fruity Jam</v>
          </cell>
          <cell r="C369">
            <v>-1.1000000000000001</v>
          </cell>
          <cell r="D369" t="str">
            <v>jam</v>
          </cell>
        </row>
        <row r="370">
          <cell r="A370">
            <v>1107</v>
          </cell>
          <cell r="B370" t="str">
            <v>Fruity Jam</v>
          </cell>
          <cell r="C370">
            <v>-1.1000000000000001</v>
          </cell>
          <cell r="D370" t="str">
            <v>jam</v>
          </cell>
        </row>
        <row r="371">
          <cell r="A371">
            <v>1108</v>
          </cell>
          <cell r="B371" t="str">
            <v>Fruity Jelly</v>
          </cell>
          <cell r="C371">
            <v>-1.1000000000000001</v>
          </cell>
          <cell r="D371" t="str">
            <v>jam</v>
          </cell>
        </row>
        <row r="372">
          <cell r="A372">
            <v>1138</v>
          </cell>
          <cell r="B372" t="str">
            <v>Fruity Jelly</v>
          </cell>
          <cell r="C372">
            <v>-1.1000000000000001</v>
          </cell>
          <cell r="D372" t="str">
            <v>jam</v>
          </cell>
        </row>
        <row r="373">
          <cell r="A373">
            <v>1036</v>
          </cell>
          <cell r="B373" t="str">
            <v>Fruity Jelly</v>
          </cell>
          <cell r="C373">
            <v>-1.1000000000000001</v>
          </cell>
          <cell r="D373" t="str">
            <v>jam</v>
          </cell>
        </row>
        <row r="374">
          <cell r="A374">
            <v>1109</v>
          </cell>
          <cell r="B374" t="str">
            <v>Fruity Jelly</v>
          </cell>
          <cell r="C374">
            <v>-1.1000000000000001</v>
          </cell>
          <cell r="D374" t="str">
            <v>jam</v>
          </cell>
        </row>
        <row r="375">
          <cell r="A375">
            <v>1040</v>
          </cell>
          <cell r="B375" t="str">
            <v>Fruity Jelly</v>
          </cell>
          <cell r="C375">
            <v>-1.1000000000000001</v>
          </cell>
          <cell r="D375" t="str">
            <v>jam</v>
          </cell>
        </row>
        <row r="376">
          <cell r="A376">
            <v>1139</v>
          </cell>
          <cell r="B376" t="str">
            <v>Fruity Jelly</v>
          </cell>
          <cell r="C376">
            <v>-1.1000000000000001</v>
          </cell>
          <cell r="D376" t="str">
            <v>jam</v>
          </cell>
        </row>
        <row r="377">
          <cell r="A377">
            <v>1026</v>
          </cell>
          <cell r="B377" t="str">
            <v>Red rhubarb jam</v>
          </cell>
          <cell r="C377">
            <v>-1.1000000000000001</v>
          </cell>
          <cell r="D377" t="str">
            <v>jam</v>
          </cell>
        </row>
        <row r="378">
          <cell r="A378">
            <v>1024</v>
          </cell>
          <cell r="B378" t="str">
            <v>Sparkling currant and rhubarb jelly</v>
          </cell>
          <cell r="C378">
            <v>-1.1000000000000001</v>
          </cell>
          <cell r="D378" t="str">
            <v>jam</v>
          </cell>
        </row>
        <row r="379">
          <cell r="A379">
            <v>1029</v>
          </cell>
          <cell r="B379" t="str">
            <v>Strawberry and rhubarb jam</v>
          </cell>
          <cell r="C379">
            <v>-1.1000000000000001</v>
          </cell>
          <cell r="D379" t="str">
            <v>jam</v>
          </cell>
        </row>
        <row r="380">
          <cell r="A380">
            <v>1030</v>
          </cell>
          <cell r="B380" t="str">
            <v>Strawberry compote</v>
          </cell>
          <cell r="C380">
            <v>-1.1000000000000001</v>
          </cell>
          <cell r="D380" t="str">
            <v>jam</v>
          </cell>
        </row>
        <row r="381">
          <cell r="A381">
            <v>1043</v>
          </cell>
          <cell r="B381" t="str">
            <v>Strawberry Jam</v>
          </cell>
          <cell r="C381">
            <v>-1.1000000000000001</v>
          </cell>
          <cell r="D381" t="str">
            <v>jam</v>
          </cell>
        </row>
        <row r="382">
          <cell r="A382">
            <v>1140</v>
          </cell>
          <cell r="B382" t="str">
            <v>Strawberry Jam</v>
          </cell>
          <cell r="C382">
            <v>-1.1000000000000001</v>
          </cell>
          <cell r="D382" t="str">
            <v>jam</v>
          </cell>
        </row>
        <row r="383">
          <cell r="A383">
            <v>1110</v>
          </cell>
          <cell r="B383" t="str">
            <v>Strawberry Jam</v>
          </cell>
          <cell r="C383">
            <v>-1.1000000000000001</v>
          </cell>
          <cell r="D383" t="str">
            <v>jam</v>
          </cell>
        </row>
        <row r="384">
          <cell r="A384">
            <v>1111</v>
          </cell>
          <cell r="B384" t="str">
            <v>Strawberry Jelly</v>
          </cell>
          <cell r="C384">
            <v>-1.1000000000000001</v>
          </cell>
          <cell r="D384" t="str">
            <v>jam</v>
          </cell>
        </row>
        <row r="385">
          <cell r="A385">
            <v>1141</v>
          </cell>
          <cell r="B385" t="str">
            <v>Strawberry Jelly</v>
          </cell>
          <cell r="C385">
            <v>-1.1000000000000001</v>
          </cell>
          <cell r="D385" t="str">
            <v>jam</v>
          </cell>
        </row>
        <row r="386">
          <cell r="A386">
            <v>1049</v>
          </cell>
          <cell r="B386" t="str">
            <v>Strawberry Jelly</v>
          </cell>
          <cell r="C386">
            <v>-1.1000000000000001</v>
          </cell>
          <cell r="D386" t="str">
            <v>jam</v>
          </cell>
        </row>
        <row r="387">
          <cell r="A387">
            <v>1035</v>
          </cell>
          <cell r="B387" t="str">
            <v>Super Fruity Jam</v>
          </cell>
          <cell r="C387">
            <v>-1.1000000000000001</v>
          </cell>
          <cell r="D387" t="str">
            <v>jam</v>
          </cell>
        </row>
        <row r="388">
          <cell r="A388">
            <v>1034</v>
          </cell>
          <cell r="B388" t="str">
            <v>Super Fruity Jam</v>
          </cell>
          <cell r="C388">
            <v>-1.1000000000000001</v>
          </cell>
          <cell r="D388" t="str">
            <v>jam</v>
          </cell>
        </row>
        <row r="389">
          <cell r="A389">
            <v>1142</v>
          </cell>
          <cell r="B389" t="str">
            <v>Super Fruity Jam</v>
          </cell>
          <cell r="C389">
            <v>-1.1000000000000001</v>
          </cell>
          <cell r="D389" t="str">
            <v>jam</v>
          </cell>
        </row>
        <row r="390">
          <cell r="A390">
            <v>1143</v>
          </cell>
          <cell r="B390" t="str">
            <v>Super Fruity Jam</v>
          </cell>
          <cell r="C390">
            <v>-1.1000000000000001</v>
          </cell>
          <cell r="D390" t="str">
            <v>jam</v>
          </cell>
        </row>
        <row r="391">
          <cell r="A391">
            <v>1113</v>
          </cell>
          <cell r="B391" t="str">
            <v>Super Fruity Jam</v>
          </cell>
          <cell r="C391">
            <v>-1.1000000000000001</v>
          </cell>
          <cell r="D391" t="str">
            <v>jam</v>
          </cell>
        </row>
        <row r="392">
          <cell r="A392">
            <v>1112</v>
          </cell>
          <cell r="B392" t="str">
            <v>Super Fruity Jam</v>
          </cell>
          <cell r="C392">
            <v>-1.1000000000000001</v>
          </cell>
          <cell r="D392" t="str">
            <v>jam</v>
          </cell>
        </row>
        <row r="393">
          <cell r="A393">
            <v>1144</v>
          </cell>
          <cell r="B393" t="str">
            <v>Super Fruity Jelly</v>
          </cell>
          <cell r="C393">
            <v>-1.1000000000000001</v>
          </cell>
          <cell r="D393" t="str">
            <v>jam</v>
          </cell>
        </row>
        <row r="394">
          <cell r="A394">
            <v>1114</v>
          </cell>
          <cell r="B394" t="str">
            <v>Super Fruity Jelly</v>
          </cell>
          <cell r="C394">
            <v>-1.1000000000000001</v>
          </cell>
          <cell r="D394" t="str">
            <v>jam</v>
          </cell>
        </row>
        <row r="395">
          <cell r="A395">
            <v>1038</v>
          </cell>
          <cell r="B395" t="str">
            <v>Super Fruity Jelly</v>
          </cell>
          <cell r="C395">
            <v>-1.1000000000000001</v>
          </cell>
          <cell r="D395" t="str">
            <v>jam</v>
          </cell>
        </row>
        <row r="396">
          <cell r="A396">
            <v>1102</v>
          </cell>
          <cell r="B396" t="str">
            <v>Sweet Jam</v>
          </cell>
          <cell r="C396">
            <v>-1.1000000000000001</v>
          </cell>
          <cell r="D396" t="str">
            <v>Jam</v>
          </cell>
        </row>
        <row r="397">
          <cell r="A397">
            <v>1115</v>
          </cell>
          <cell r="B397" t="str">
            <v>Super Fruity Jelly</v>
          </cell>
          <cell r="C397">
            <v>-1.1000000000000001</v>
          </cell>
          <cell r="D397" t="str">
            <v>jam</v>
          </cell>
        </row>
        <row r="398">
          <cell r="A398">
            <v>1145</v>
          </cell>
          <cell r="B398" t="str">
            <v>Super Fruity Jelly</v>
          </cell>
          <cell r="C398">
            <v>-1.1000000000000001</v>
          </cell>
          <cell r="D398" t="str">
            <v>jam</v>
          </cell>
        </row>
        <row r="399">
          <cell r="A399">
            <v>1044</v>
          </cell>
          <cell r="B399" t="str">
            <v>Super Fruity Jelly</v>
          </cell>
          <cell r="C399">
            <v>-1.1000000000000001</v>
          </cell>
          <cell r="D399" t="str">
            <v>jam</v>
          </cell>
        </row>
        <row r="400">
          <cell r="A400">
            <v>1116</v>
          </cell>
          <cell r="B400" t="str">
            <v>Sweet Jam</v>
          </cell>
          <cell r="C400">
            <v>-1.1000000000000001</v>
          </cell>
          <cell r="D400" t="str">
            <v>jam</v>
          </cell>
        </row>
        <row r="401">
          <cell r="A401">
            <v>1033</v>
          </cell>
          <cell r="B401" t="str">
            <v>Sweet Jam</v>
          </cell>
          <cell r="C401">
            <v>-1.1000000000000001</v>
          </cell>
          <cell r="D401" t="str">
            <v>jam</v>
          </cell>
        </row>
        <row r="402">
          <cell r="A402">
            <v>1146</v>
          </cell>
          <cell r="B402" t="str">
            <v>Sweet Jam</v>
          </cell>
          <cell r="C402">
            <v>-1.1000000000000001</v>
          </cell>
          <cell r="D402" t="str">
            <v>jam</v>
          </cell>
        </row>
        <row r="403">
          <cell r="A403">
            <v>1147</v>
          </cell>
          <cell r="B403" t="str">
            <v>Sweet Jelly</v>
          </cell>
          <cell r="C403">
            <v>-1.1000000000000001</v>
          </cell>
          <cell r="D403" t="str">
            <v>jam</v>
          </cell>
        </row>
        <row r="404">
          <cell r="A404">
            <v>1117</v>
          </cell>
          <cell r="B404" t="str">
            <v>Sweet Jelly</v>
          </cell>
          <cell r="C404">
            <v>-1.1000000000000001</v>
          </cell>
          <cell r="D404" t="str">
            <v>jam</v>
          </cell>
        </row>
        <row r="405">
          <cell r="A405">
            <v>1037</v>
          </cell>
          <cell r="B405" t="str">
            <v>Sweet Jelly</v>
          </cell>
          <cell r="C405">
            <v>-1.1000000000000001</v>
          </cell>
          <cell r="D405" t="str">
            <v>jam</v>
          </cell>
        </row>
        <row r="406">
          <cell r="A406">
            <v>1101</v>
          </cell>
          <cell r="B406" t="str">
            <v>Classic Jam</v>
          </cell>
          <cell r="C406">
            <v>-1.1000000000000001</v>
          </cell>
          <cell r="D406" t="str">
            <v>Jam</v>
          </cell>
        </row>
        <row r="407">
          <cell r="A407">
            <v>1100</v>
          </cell>
          <cell r="B407" t="str">
            <v>Fruity Jam</v>
          </cell>
          <cell r="C407">
            <v>-1.1000000000000001</v>
          </cell>
          <cell r="D407" t="str">
            <v>Jam</v>
          </cell>
        </row>
        <row r="408">
          <cell r="A408">
            <v>1103</v>
          </cell>
          <cell r="B408" t="str">
            <v>Berry Jam</v>
          </cell>
          <cell r="C408">
            <v>-1.1000000000000001</v>
          </cell>
          <cell r="D408" t="str">
            <v>Jam</v>
          </cell>
        </row>
        <row r="409">
          <cell r="A409">
            <v>1041</v>
          </cell>
          <cell r="B409" t="str">
            <v>Berry Jam</v>
          </cell>
          <cell r="C409">
            <v>-1.1000000000000001</v>
          </cell>
          <cell r="D409" t="str">
            <v>Jam</v>
          </cell>
        </row>
        <row r="410">
          <cell r="A410">
            <v>1133</v>
          </cell>
          <cell r="B410" t="str">
            <v>Berry Jam</v>
          </cell>
          <cell r="C410">
            <v>-1.1000000000000001</v>
          </cell>
          <cell r="D410" t="str">
            <v>Jam</v>
          </cell>
        </row>
        <row r="411">
          <cell r="A411">
            <v>1104</v>
          </cell>
          <cell r="B411" t="str">
            <v>Berry Jelly</v>
          </cell>
          <cell r="C411">
            <v>-1.1000000000000001</v>
          </cell>
          <cell r="D411" t="str">
            <v>Jam</v>
          </cell>
        </row>
        <row r="412">
          <cell r="A412">
            <v>1050</v>
          </cell>
          <cell r="B412" t="str">
            <v>Berry Jelly</v>
          </cell>
          <cell r="C412">
            <v>-1.1000000000000001</v>
          </cell>
          <cell r="D412" t="str">
            <v>Jam</v>
          </cell>
        </row>
        <row r="413">
          <cell r="A413">
            <v>1134</v>
          </cell>
          <cell r="B413" t="str">
            <v>Berry Jelly</v>
          </cell>
          <cell r="C413">
            <v>-1.1000000000000001</v>
          </cell>
          <cell r="D413" t="str">
            <v>Jam</v>
          </cell>
        </row>
        <row r="414">
          <cell r="A414">
            <v>171</v>
          </cell>
          <cell r="B414" t="str">
            <v>Avocado Banana Kiwi Smoothie</v>
          </cell>
          <cell r="C414">
            <v>-1.1000000000000001</v>
          </cell>
          <cell r="D414" t="str">
            <v>zzz</v>
          </cell>
        </row>
        <row r="415">
          <cell r="A415">
            <v>216</v>
          </cell>
          <cell r="B415" t="str">
            <v>Banana Smoothie</v>
          </cell>
          <cell r="C415">
            <v>-1.1000000000000001</v>
          </cell>
          <cell r="D415" t="str">
            <v>zzz</v>
          </cell>
        </row>
        <row r="416">
          <cell r="A416">
            <v>668</v>
          </cell>
          <cell r="B416" t="str">
            <v>Empa-Tea and Ginger-Aid</v>
          </cell>
          <cell r="D416" t="str">
            <v>zzz</v>
          </cell>
        </row>
        <row r="417">
          <cell r="A417">
            <v>170</v>
          </cell>
          <cell r="B417" t="str">
            <v>Forest Fruit Smoothie</v>
          </cell>
          <cell r="C417">
            <v>-1.1000000000000001</v>
          </cell>
          <cell r="D417" t="str">
            <v>zzz</v>
          </cell>
        </row>
        <row r="418">
          <cell r="A418">
            <v>217</v>
          </cell>
          <cell r="B418" t="str">
            <v>Blueberry Smoothie</v>
          </cell>
          <cell r="C418">
            <v>-1.1000000000000001</v>
          </cell>
          <cell r="D418" t="str">
            <v>zzz</v>
          </cell>
        </row>
        <row r="419">
          <cell r="A419">
            <v>669</v>
          </cell>
          <cell r="B419" t="str">
            <v>Lemon Iced Tea</v>
          </cell>
          <cell r="D419" t="str">
            <v>zzz</v>
          </cell>
        </row>
        <row r="420">
          <cell r="A420">
            <v>215</v>
          </cell>
          <cell r="B420" t="str">
            <v>Mango Smoothie</v>
          </cell>
          <cell r="C420">
            <v>-1.1000000000000001</v>
          </cell>
          <cell r="D420" t="str">
            <v>zzz</v>
          </cell>
        </row>
        <row r="421">
          <cell r="A421">
            <v>218</v>
          </cell>
          <cell r="B421" t="str">
            <v>Peach Smoothie</v>
          </cell>
          <cell r="C421">
            <v>-1.1000000000000001</v>
          </cell>
          <cell r="D421" t="str">
            <v>zzz</v>
          </cell>
        </row>
        <row r="422">
          <cell r="A422">
            <v>172</v>
          </cell>
          <cell r="B422" t="str">
            <v>Pineapple Mango Smoothie</v>
          </cell>
          <cell r="C422">
            <v>-1.1000000000000001</v>
          </cell>
          <cell r="D422" t="str">
            <v>zzz</v>
          </cell>
        </row>
        <row r="423">
          <cell r="A423">
            <v>670</v>
          </cell>
          <cell r="B423" t="str">
            <v>Quickest Tea Cocktail</v>
          </cell>
          <cell r="D423" t="str">
            <v>zzz</v>
          </cell>
        </row>
        <row r="424">
          <cell r="A424">
            <v>589</v>
          </cell>
          <cell r="B424" t="str">
            <v>Balinesisk curry med LupinfilÈ</v>
          </cell>
          <cell r="C424">
            <v>-1.1000000000000001</v>
          </cell>
          <cell r="D424" t="str">
            <v>zzz</v>
          </cell>
        </row>
        <row r="425">
          <cell r="A425">
            <v>99</v>
          </cell>
          <cell r="B425" t="str">
            <v>Japanese Sauce</v>
          </cell>
          <cell r="C425">
            <v>-1.1000000000000001</v>
          </cell>
          <cell r="D425" t="str">
            <v>zzz</v>
          </cell>
        </row>
        <row r="426">
          <cell r="A426">
            <v>876</v>
          </cell>
          <cell r="B426" t="str">
            <v>Low FODMAP Zucchini, Eggplant and Tomato Tian</v>
          </cell>
          <cell r="C426">
            <v>-1.1000000000000001</v>
          </cell>
          <cell r="D426" t="str">
            <v>zzz</v>
          </cell>
        </row>
        <row r="427">
          <cell r="A427">
            <v>1074</v>
          </cell>
          <cell r="B427" t="str">
            <v>Farofa</v>
          </cell>
          <cell r="C427">
            <v>-1.1000000000000001</v>
          </cell>
          <cell r="D427" t="str">
            <v>zzz</v>
          </cell>
        </row>
        <row r="428">
          <cell r="A428">
            <v>1087</v>
          </cell>
          <cell r="B428" t="str">
            <v>Savory Tapioca Crepes</v>
          </cell>
          <cell r="C428">
            <v>-1.1000000000000001</v>
          </cell>
          <cell r="D428" t="str">
            <v>zzz</v>
          </cell>
        </row>
        <row r="429">
          <cell r="A429">
            <v>1086</v>
          </cell>
          <cell r="B429" t="str">
            <v>Sweet Tapioca Crepes</v>
          </cell>
          <cell r="C429">
            <v>-1.1000000000000001</v>
          </cell>
          <cell r="D429" t="str">
            <v>zzz</v>
          </cell>
        </row>
        <row r="430">
          <cell r="A430">
            <v>603</v>
          </cell>
          <cell r="B430" t="str">
            <v>Garlic Bread</v>
          </cell>
          <cell r="C430">
            <v>-1.1000000000000001</v>
          </cell>
          <cell r="D430" t="str">
            <v>zzz</v>
          </cell>
        </row>
        <row r="431">
          <cell r="A431">
            <v>250</v>
          </cell>
          <cell r="B431" t="str">
            <v>[COOP] Lentil Daal</v>
          </cell>
          <cell r="C431">
            <v>-1.1000000000000001</v>
          </cell>
          <cell r="D431" t="str">
            <v>zzz</v>
          </cell>
        </row>
        <row r="432">
          <cell r="A432">
            <v>90</v>
          </cell>
          <cell r="B432" t="str">
            <v>[COOP] lentil soup</v>
          </cell>
          <cell r="C432">
            <v>-1.1000000000000001</v>
          </cell>
          <cell r="D432" t="str">
            <v>zzz</v>
          </cell>
        </row>
        <row r="433">
          <cell r="A433">
            <v>335</v>
          </cell>
          <cell r="B433" t="str">
            <v>Life by Nan Vegetarian Indian Korma</v>
          </cell>
          <cell r="C433">
            <v>-1.1000000000000001</v>
          </cell>
          <cell r="D433" t="str">
            <v>zzz</v>
          </cell>
        </row>
        <row r="434">
          <cell r="A434">
            <v>576</v>
          </cell>
          <cell r="B434" t="str">
            <v>Naan bread</v>
          </cell>
          <cell r="C434">
            <v>-1.1000000000000001</v>
          </cell>
          <cell r="D434" t="str">
            <v>zzz</v>
          </cell>
        </row>
        <row r="435">
          <cell r="A435">
            <v>1054</v>
          </cell>
          <cell r="B435" t="str">
            <v>Sharwood's Burrito</v>
          </cell>
          <cell r="C435">
            <v>-1.1000000000000001</v>
          </cell>
          <cell r="D435" t="str">
            <v>zzz</v>
          </cell>
        </row>
        <row r="436">
          <cell r="A436">
            <v>1057</v>
          </cell>
          <cell r="B436" t="str">
            <v>Sharwood's Indian Lasagna</v>
          </cell>
          <cell r="C436">
            <v>-1.1000000000000001</v>
          </cell>
          <cell r="D436" t="str">
            <v>zzz</v>
          </cell>
        </row>
        <row r="437">
          <cell r="A437">
            <v>1055</v>
          </cell>
          <cell r="B437" t="str">
            <v>Sharwood's Indian Stew</v>
          </cell>
          <cell r="C437">
            <v>-1.1000000000000001</v>
          </cell>
          <cell r="D437" t="str">
            <v>zzz</v>
          </cell>
        </row>
        <row r="438">
          <cell r="A438">
            <v>1053</v>
          </cell>
          <cell r="B438" t="str">
            <v>Sharwood's Pizza</v>
          </cell>
          <cell r="C438">
            <v>-1.1000000000000001</v>
          </cell>
          <cell r="D438" t="str">
            <v>zzz</v>
          </cell>
        </row>
        <row r="439">
          <cell r="A439">
            <v>329</v>
          </cell>
          <cell r="B439" t="str">
            <v>Zora Klipp's Sweet Potato Curry</v>
          </cell>
          <cell r="C439">
            <v>-1.1000000000000001</v>
          </cell>
          <cell r="D439" t="str">
            <v>zzz</v>
          </cell>
        </row>
        <row r="440">
          <cell r="A440">
            <v>556</v>
          </cell>
          <cell r="B440" t="str">
            <v>Gluten Free Wasa Mini Pizzas</v>
          </cell>
          <cell r="C440">
            <v>-1.1000000000000001</v>
          </cell>
          <cell r="D440" t="str">
            <v>zzz</v>
          </cell>
        </row>
        <row r="441">
          <cell r="A441">
            <v>323</v>
          </cell>
          <cell r="B441" t="str">
            <v>Michael's Sicilian Diavola Pizza</v>
          </cell>
          <cell r="C441">
            <v>-1.1000000000000001</v>
          </cell>
          <cell r="D441" t="str">
            <v>zzz</v>
          </cell>
        </row>
        <row r="442">
          <cell r="A442">
            <v>290</v>
          </cell>
          <cell r="B442" t="str">
            <v>Potato Moussaka</v>
          </cell>
          <cell r="C442">
            <v>-1.1000000000000001</v>
          </cell>
          <cell r="D442" t="str">
            <v>zzz</v>
          </cell>
        </row>
        <row r="443">
          <cell r="A443">
            <v>443</v>
          </cell>
          <cell r="B443" t="str">
            <v>Rosemary Fig Crackers</v>
          </cell>
          <cell r="C443">
            <v>-1.1000000000000001</v>
          </cell>
          <cell r="D443" t="str">
            <v>zzz</v>
          </cell>
        </row>
        <row r="444">
          <cell r="A444">
            <v>344</v>
          </cell>
          <cell r="B444" t="str">
            <v>The Plantbased School Stuffed Peppers</v>
          </cell>
          <cell r="C444">
            <v>-1.1000000000000001</v>
          </cell>
          <cell r="D444" t="str">
            <v>zzz</v>
          </cell>
        </row>
        <row r="445">
          <cell r="A445">
            <v>559</v>
          </cell>
          <cell r="B445" t="str">
            <v>Margherita Pizza Snack</v>
          </cell>
          <cell r="C445">
            <v>-1.1000000000000001</v>
          </cell>
          <cell r="D445" t="str">
            <v>zzz</v>
          </cell>
        </row>
        <row r="446">
          <cell r="A446">
            <v>916</v>
          </cell>
          <cell r="B446" t="str">
            <v>Chulitos Nachos</v>
          </cell>
          <cell r="C446">
            <v>-1.1000000000000001</v>
          </cell>
          <cell r="D446" t="str">
            <v>zzz</v>
          </cell>
        </row>
        <row r="447">
          <cell r="A447">
            <v>914</v>
          </cell>
          <cell r="B447" t="str">
            <v>Chulitos Tortilla Soup</v>
          </cell>
          <cell r="C447">
            <v>-1.1000000000000001</v>
          </cell>
          <cell r="D447" t="str">
            <v>zzz</v>
          </cell>
        </row>
        <row r="448">
          <cell r="A448">
            <v>555</v>
          </cell>
          <cell r="B448" t="str">
            <v>Gluten Free Wasa with Beans &amp; Corn Salsa</v>
          </cell>
          <cell r="C448">
            <v>-1.1000000000000001</v>
          </cell>
          <cell r="D448" t="str">
            <v>zzz</v>
          </cell>
        </row>
        <row r="449">
          <cell r="A449">
            <v>924</v>
          </cell>
          <cell r="B449" t="str">
            <v>Irish Pasta</v>
          </cell>
          <cell r="C449">
            <v>-1.1000000000000001</v>
          </cell>
          <cell r="D449" t="str">
            <v>zzz</v>
          </cell>
        </row>
        <row r="450">
          <cell r="A450">
            <v>796</v>
          </cell>
          <cell r="B450" t="str">
            <v>Poached Fish with Seared Leeks</v>
          </cell>
          <cell r="C450">
            <v>-1.1000000000000001</v>
          </cell>
          <cell r="D450" t="str">
            <v>zzz</v>
          </cell>
        </row>
        <row r="451">
          <cell r="A451">
            <v>581</v>
          </cell>
          <cell r="B451" t="str">
            <v>Potato Sm¯rrebr¯d with Goudacream</v>
          </cell>
          <cell r="C451">
            <v>-1.1000000000000001</v>
          </cell>
          <cell r="D451" t="str">
            <v>zzz</v>
          </cell>
        </row>
        <row r="452">
          <cell r="A452">
            <v>1064</v>
          </cell>
          <cell r="B452" t="str">
            <v>Basque Style Fish Stew</v>
          </cell>
          <cell r="C452">
            <v>-1.1000000000000001</v>
          </cell>
          <cell r="D452" t="str">
            <v>zzz</v>
          </cell>
        </row>
        <row r="453">
          <cell r="A453">
            <v>590</v>
          </cell>
          <cell r="B453" t="str">
            <v>Thai Stir-fry med Lupintempeh</v>
          </cell>
          <cell r="C453">
            <v>-1.1000000000000001</v>
          </cell>
          <cell r="D453" t="str">
            <v>zzz</v>
          </cell>
        </row>
        <row r="454">
          <cell r="A454">
            <v>174</v>
          </cell>
          <cell r="B454" t="str">
            <v>Artichoke Pizza</v>
          </cell>
          <cell r="C454">
            <v>-1.1000000000000001</v>
          </cell>
          <cell r="D454" t="str">
            <v>zzz</v>
          </cell>
        </row>
        <row r="455">
          <cell r="A455">
            <v>764</v>
          </cell>
          <cell r="B455" t="str">
            <v>One-Pan Carrot and Quinoa Medley</v>
          </cell>
          <cell r="C455">
            <v>-1.1000000000000001</v>
          </cell>
          <cell r="D455" t="str">
            <v>zzz</v>
          </cell>
        </row>
        <row r="456">
          <cell r="A456">
            <v>963</v>
          </cell>
          <cell r="B456" t="str">
            <v>Zucchini Stir-Fry</v>
          </cell>
          <cell r="C456">
            <v>-1.1000000000000001</v>
          </cell>
          <cell r="D456" t="str">
            <v>zzz</v>
          </cell>
        </row>
        <row r="457">
          <cell r="A457">
            <v>607</v>
          </cell>
          <cell r="B457" t="str">
            <v>GRIM Winter Stew</v>
          </cell>
          <cell r="C457">
            <v>-1.1000000000000001</v>
          </cell>
          <cell r="D457" t="str">
            <v>zzz</v>
          </cell>
        </row>
        <row r="458">
          <cell r="A458">
            <v>604</v>
          </cell>
          <cell r="B458" t="str">
            <v>GRIM Creamy Soup</v>
          </cell>
          <cell r="C458">
            <v>-1.1000000000000001</v>
          </cell>
          <cell r="D458" t="str">
            <v>zzz</v>
          </cell>
        </row>
        <row r="459">
          <cell r="A459">
            <v>877</v>
          </cell>
          <cell r="B459" t="str">
            <v>Low FODMAP Parsnip Soup with Thyme &amp; Bacon</v>
          </cell>
          <cell r="C459">
            <v>-1.1000000000000001</v>
          </cell>
          <cell r="D459" t="str">
            <v>zzz</v>
          </cell>
        </row>
        <row r="460">
          <cell r="A460">
            <v>157</v>
          </cell>
          <cell r="B460" t="str">
            <v>Thermomix Chunky Borscht</v>
          </cell>
          <cell r="C460">
            <v>-1.1000000000000001</v>
          </cell>
          <cell r="D460" t="str">
            <v>zzz</v>
          </cell>
        </row>
        <row r="461">
          <cell r="A461">
            <v>230</v>
          </cell>
          <cell r="B461" t="str">
            <v>Thermomix Smooth Broccoli Soup</v>
          </cell>
          <cell r="C461">
            <v>-1.1000000000000001</v>
          </cell>
          <cell r="D461" t="str">
            <v>zzz</v>
          </cell>
        </row>
        <row r="462">
          <cell r="A462">
            <v>159</v>
          </cell>
          <cell r="B462" t="str">
            <v>Thermomix Spicy Creamy Soup</v>
          </cell>
          <cell r="C462">
            <v>-1.1000000000000001</v>
          </cell>
          <cell r="D462" t="str">
            <v>zzz</v>
          </cell>
        </row>
        <row r="463">
          <cell r="A463">
            <v>158</v>
          </cell>
          <cell r="B463" t="str">
            <v>Thermomix Tortilla Soup</v>
          </cell>
          <cell r="C463">
            <v>-1.1000000000000001</v>
          </cell>
          <cell r="D463" t="str">
            <v>zzz</v>
          </cell>
        </row>
        <row r="464">
          <cell r="A464">
            <v>246</v>
          </cell>
          <cell r="B464" t="str">
            <v>Thermomix Versatile Chunky Soup</v>
          </cell>
          <cell r="C464">
            <v>-1.1000000000000001</v>
          </cell>
          <cell r="D464" t="str">
            <v>zzz</v>
          </cell>
        </row>
        <row r="465">
          <cell r="A465">
            <v>153</v>
          </cell>
          <cell r="B465" t="str">
            <v>Thermomix Versatile Smooth Soup</v>
          </cell>
          <cell r="C465">
            <v>-1.1000000000000001</v>
          </cell>
          <cell r="D465" t="str">
            <v>zzz</v>
          </cell>
        </row>
        <row r="466">
          <cell r="A466">
            <v>1000</v>
          </cell>
          <cell r="B466" t="str">
            <v>Chard Salad</v>
          </cell>
          <cell r="C466">
            <v>-1.1000000000000001</v>
          </cell>
          <cell r="D466" t="str">
            <v>zzz</v>
          </cell>
        </row>
        <row r="467">
          <cell r="A467">
            <v>318</v>
          </cell>
          <cell r="B467" t="str">
            <v>Michael's Umami Buddha Bowl</v>
          </cell>
          <cell r="C467">
            <v>-1.1000000000000001</v>
          </cell>
          <cell r="D467" t="str">
            <v>zzz</v>
          </cell>
        </row>
        <row r="468">
          <cell r="A468">
            <v>343</v>
          </cell>
          <cell r="B468" t="str">
            <v>Quinoa Buddha Bowl by Body.Soul.Whole</v>
          </cell>
          <cell r="C468">
            <v>-1.1000000000000001</v>
          </cell>
          <cell r="D468" t="str">
            <v>zzz</v>
          </cell>
        </row>
        <row r="469">
          <cell r="A469">
            <v>339</v>
          </cell>
          <cell r="B469" t="str">
            <v>Gastromand Crazy Horse Salad</v>
          </cell>
          <cell r="C469">
            <v>-1.1000000000000001</v>
          </cell>
          <cell r="D469" t="str">
            <v>zzz</v>
          </cell>
        </row>
        <row r="470">
          <cell r="A470">
            <v>606</v>
          </cell>
          <cell r="B470" t="str">
            <v>GRIM Roasted Vegetable Salad</v>
          </cell>
          <cell r="C470">
            <v>-1.1000000000000001</v>
          </cell>
          <cell r="D470" t="str">
            <v>zzz</v>
          </cell>
        </row>
        <row r="471">
          <cell r="A471">
            <v>609</v>
          </cell>
          <cell r="B471" t="str">
            <v>GRIM Salad</v>
          </cell>
          <cell r="C471">
            <v>-1.1000000000000001</v>
          </cell>
          <cell r="D471" t="str">
            <v>zzz</v>
          </cell>
        </row>
        <row r="472">
          <cell r="A472">
            <v>13</v>
          </cell>
          <cell r="B472" t="str">
            <v>Warm Middle Eastern Salad</v>
          </cell>
          <cell r="C472">
            <v>-1.1000000000000001</v>
          </cell>
          <cell r="D472" t="str">
            <v>zzz</v>
          </cell>
        </row>
        <row r="473">
          <cell r="A473">
            <v>954</v>
          </cell>
          <cell r="B473" t="str">
            <v>Asparagus Pasta</v>
          </cell>
          <cell r="C473">
            <v>-1.1000000000000001</v>
          </cell>
          <cell r="D473" t="str">
            <v>zzz</v>
          </cell>
        </row>
        <row r="474">
          <cell r="A474">
            <v>955</v>
          </cell>
          <cell r="B474" t="str">
            <v>Broccoli Pasta</v>
          </cell>
          <cell r="C474">
            <v>-1.1000000000000001</v>
          </cell>
          <cell r="D474" t="str">
            <v>zzz</v>
          </cell>
        </row>
        <row r="475">
          <cell r="A475">
            <v>956</v>
          </cell>
          <cell r="B475" t="str">
            <v>Cauliflower Pasta</v>
          </cell>
          <cell r="C475">
            <v>-1.1000000000000001</v>
          </cell>
          <cell r="D475" t="str">
            <v>zzz</v>
          </cell>
        </row>
        <row r="476">
          <cell r="A476">
            <v>992</v>
          </cell>
          <cell r="B476" t="str">
            <v>Chicken Pasta Salad</v>
          </cell>
          <cell r="C476">
            <v>-1.1000000000000001</v>
          </cell>
          <cell r="D476" t="str">
            <v>zzz</v>
          </cell>
        </row>
        <row r="477">
          <cell r="A477">
            <v>895</v>
          </cell>
          <cell r="B477" t="str">
            <v>Pasta with Salmon and Spinach</v>
          </cell>
          <cell r="C477">
            <v>-1.1000000000000001</v>
          </cell>
          <cell r="D477" t="str">
            <v>zzz</v>
          </cell>
        </row>
        <row r="478">
          <cell r="A478">
            <v>773</v>
          </cell>
          <cell r="B478" t="str">
            <v>Sausage and Mushroom Pasta Skillet</v>
          </cell>
          <cell r="C478">
            <v>-1.1000000000000001</v>
          </cell>
          <cell r="D478" t="str">
            <v>zzz</v>
          </cell>
        </row>
        <row r="479">
          <cell r="A479">
            <v>98</v>
          </cell>
          <cell r="B479" t="str">
            <v>BBQ Marinade</v>
          </cell>
          <cell r="C479">
            <v>-1.1000000000000001</v>
          </cell>
          <cell r="D479" t="str">
            <v>zzz</v>
          </cell>
        </row>
        <row r="480">
          <cell r="A480">
            <v>1095</v>
          </cell>
          <cell r="B480" t="str">
            <v>BBQ Marinade</v>
          </cell>
          <cell r="C480">
            <v>-1.1000000000000001</v>
          </cell>
          <cell r="D480" t="str">
            <v>zzz</v>
          </cell>
        </row>
        <row r="481">
          <cell r="A481">
            <v>578</v>
          </cell>
          <cell r="B481" t="str">
            <v>Panfried Lupintempeh topped with spicy Avocado Mash</v>
          </cell>
          <cell r="C481">
            <v>-1.1000000000000001</v>
          </cell>
          <cell r="D481" t="str">
            <v>zzz</v>
          </cell>
        </row>
        <row r="482">
          <cell r="A482">
            <v>538</v>
          </cell>
          <cell r="B482" t="str">
            <v>Pulled chicken with seaweed pesto</v>
          </cell>
          <cell r="C482">
            <v>-1.1000000000000001</v>
          </cell>
          <cell r="D482" t="str">
            <v>zzz</v>
          </cell>
        </row>
        <row r="483">
          <cell r="A483">
            <v>192</v>
          </cell>
          <cell r="B483" t="str">
            <v>Beetroot Dip</v>
          </cell>
          <cell r="C483">
            <v>-1.1000000000000001</v>
          </cell>
          <cell r="D483" t="str">
            <v>zzz</v>
          </cell>
        </row>
        <row r="484">
          <cell r="A484">
            <v>189</v>
          </cell>
          <cell r="B484" t="str">
            <v>Cheesy Dip</v>
          </cell>
          <cell r="C484">
            <v>-1.1000000000000001</v>
          </cell>
          <cell r="D484" t="str">
            <v>zzz</v>
          </cell>
        </row>
        <row r="485">
          <cell r="A485">
            <v>1090</v>
          </cell>
          <cell r="B485" t="str">
            <v>Ginger, Chilli and Soy Marinade</v>
          </cell>
          <cell r="C485">
            <v>-1.1000000000000001</v>
          </cell>
          <cell r="D485" t="str">
            <v>zzz</v>
          </cell>
        </row>
        <row r="486">
          <cell r="A486">
            <v>193</v>
          </cell>
          <cell r="B486" t="str">
            <v>Hot Chili Dip</v>
          </cell>
          <cell r="C486">
            <v>-1.1000000000000001</v>
          </cell>
          <cell r="D486" t="str">
            <v>zzz</v>
          </cell>
        </row>
        <row r="487">
          <cell r="A487">
            <v>1092</v>
          </cell>
          <cell r="B487" t="str">
            <v>Lemon Grass, Ginger and JalapeÒo Marinade</v>
          </cell>
          <cell r="C487">
            <v>-1.1000000000000001</v>
          </cell>
          <cell r="D487" t="str">
            <v>zzz</v>
          </cell>
        </row>
        <row r="488">
          <cell r="A488">
            <v>191</v>
          </cell>
          <cell r="B488" t="str">
            <v>Pumpkin Dip</v>
          </cell>
          <cell r="C488">
            <v>-1.1000000000000001</v>
          </cell>
          <cell r="D488" t="str">
            <v>zzz</v>
          </cell>
        </row>
        <row r="489">
          <cell r="A489">
            <v>100</v>
          </cell>
          <cell r="B489" t="str">
            <v>Sauce</v>
          </cell>
          <cell r="C489">
            <v>-1.1000000000000001</v>
          </cell>
          <cell r="D489" t="str">
            <v>zzz</v>
          </cell>
        </row>
        <row r="490">
          <cell r="A490">
            <v>97</v>
          </cell>
          <cell r="B490" t="str">
            <v>Spicy Dressing</v>
          </cell>
          <cell r="C490">
            <v>-1.1000000000000001</v>
          </cell>
          <cell r="D490" t="str">
            <v>zzz</v>
          </cell>
        </row>
        <row r="491">
          <cell r="A491">
            <v>228</v>
          </cell>
          <cell r="B491" t="str">
            <v>Thermomix Black Bean Dip</v>
          </cell>
          <cell r="C491">
            <v>-1.1000000000000001</v>
          </cell>
          <cell r="D491" t="str">
            <v>zzz</v>
          </cell>
        </row>
        <row r="492">
          <cell r="A492">
            <v>229</v>
          </cell>
          <cell r="B492" t="str">
            <v>Thermomix Butternut Squash Dip</v>
          </cell>
          <cell r="C492">
            <v>-1.1000000000000001</v>
          </cell>
          <cell r="D492" t="str">
            <v>zzz</v>
          </cell>
        </row>
        <row r="493">
          <cell r="A493">
            <v>156</v>
          </cell>
          <cell r="B493" t="str">
            <v>Thermomix Versatile Dip</v>
          </cell>
          <cell r="C493">
            <v>-1.1000000000000001</v>
          </cell>
          <cell r="D493" t="str">
            <v>zzz</v>
          </cell>
        </row>
        <row r="494">
          <cell r="A494">
            <v>223</v>
          </cell>
          <cell r="B494" t="str">
            <v>Broccoli Patties</v>
          </cell>
          <cell r="C494">
            <v>-1.1000000000000001</v>
          </cell>
          <cell r="D494" t="str">
            <v>zzz</v>
          </cell>
        </row>
        <row r="495">
          <cell r="A495">
            <v>274</v>
          </cell>
          <cell r="B495" t="str">
            <v>Grains and plant proteins</v>
          </cell>
          <cell r="C495">
            <v>-1.1000000000000001</v>
          </cell>
          <cell r="D495" t="str">
            <v>zzz</v>
          </cell>
        </row>
        <row r="496">
          <cell r="A496">
            <v>591</v>
          </cell>
          <cell r="B496" t="str">
            <v>LupinfilÈburgare med garlic-chili LupinfilÈfries</v>
          </cell>
          <cell r="C496">
            <v>-1.1000000000000001</v>
          </cell>
          <cell r="D496" t="str">
            <v>zzz</v>
          </cell>
        </row>
        <row r="497">
          <cell r="A497">
            <v>588</v>
          </cell>
          <cell r="B497" t="str">
            <v>Lupinpytt</v>
          </cell>
          <cell r="C497">
            <v>-1.1000000000000001</v>
          </cell>
          <cell r="D497" t="str">
            <v>zzz</v>
          </cell>
        </row>
        <row r="498">
          <cell r="A498">
            <v>1048</v>
          </cell>
          <cell r="B498" t="str">
            <v>Simple patties</v>
          </cell>
          <cell r="C498">
            <v>-1.1000000000000001</v>
          </cell>
          <cell r="D498" t="str">
            <v>zzz</v>
          </cell>
        </row>
        <row r="499">
          <cell r="A499">
            <v>224</v>
          </cell>
          <cell r="B499" t="str">
            <v>Zucchini Patties</v>
          </cell>
          <cell r="C499">
            <v>-1.1000000000000001</v>
          </cell>
          <cell r="D499" t="str">
            <v>zzz</v>
          </cell>
        </row>
        <row r="500">
          <cell r="A500">
            <v>340</v>
          </cell>
          <cell r="B500" t="str">
            <v>Gourministeriet Quinoa Fritters</v>
          </cell>
          <cell r="C500">
            <v>-1.1000000000000001</v>
          </cell>
          <cell r="D500" t="str">
            <v>zzz</v>
          </cell>
        </row>
        <row r="501">
          <cell r="A501">
            <v>830</v>
          </cell>
          <cell r="B501" t="str">
            <v xml:space="preserve">Potato Vegetable Fritters 2 </v>
          </cell>
          <cell r="C501">
            <v>-1.1000000000000001</v>
          </cell>
          <cell r="D501" t="str">
            <v>zzz</v>
          </cell>
        </row>
        <row r="502">
          <cell r="A502">
            <v>198</v>
          </cell>
          <cell r="B502" t="str">
            <v>Carrot Mash</v>
          </cell>
          <cell r="C502">
            <v>-1.1000000000000001</v>
          </cell>
          <cell r="D502" t="str">
            <v>zzz</v>
          </cell>
        </row>
        <row r="503">
          <cell r="A503">
            <v>200</v>
          </cell>
          <cell r="B503" t="str">
            <v>Cauliflower Mash</v>
          </cell>
          <cell r="C503">
            <v>-1.1000000000000001</v>
          </cell>
          <cell r="D503" t="str">
            <v>zzz</v>
          </cell>
        </row>
        <row r="504">
          <cell r="A504">
            <v>241</v>
          </cell>
          <cell r="B504" t="str">
            <v>Christmas Roasted Veggies</v>
          </cell>
          <cell r="C504">
            <v>-1.1000000000000001</v>
          </cell>
          <cell r="D504" t="str">
            <v>zzz</v>
          </cell>
        </row>
        <row r="505">
          <cell r="A505">
            <v>35</v>
          </cell>
          <cell r="B505" t="str">
            <v>[COOP] Cauliflower Gratin</v>
          </cell>
          <cell r="C505">
            <v>-1.1000000000000001</v>
          </cell>
          <cell r="D505" t="str">
            <v>zzz</v>
          </cell>
        </row>
        <row r="506">
          <cell r="A506">
            <v>859</v>
          </cell>
          <cell r="B506" t="str">
            <v>Crispbread mini pizzas</v>
          </cell>
          <cell r="C506">
            <v>-1.1000000000000001</v>
          </cell>
          <cell r="D506" t="str">
            <v>zzz</v>
          </cell>
        </row>
        <row r="507">
          <cell r="A507">
            <v>640</v>
          </cell>
          <cell r="B507" t="str">
            <v>Veganes Ofengem¸se</v>
          </cell>
          <cell r="C507">
            <v>-1.1000000000000001</v>
          </cell>
          <cell r="D507" t="str">
            <v>zzz</v>
          </cell>
        </row>
        <row r="508">
          <cell r="A508">
            <v>560</v>
          </cell>
          <cell r="B508" t="str">
            <v>Homemade Hummus Sandwich</v>
          </cell>
          <cell r="C508">
            <v>-1.1000000000000001</v>
          </cell>
          <cell r="D508" t="str">
            <v>zzz</v>
          </cell>
        </row>
        <row r="509">
          <cell r="A509">
            <v>537</v>
          </cell>
          <cell r="B509" t="str">
            <v>Spicy Hummus Sandwich</v>
          </cell>
          <cell r="C509">
            <v>-1.1000000000000001</v>
          </cell>
          <cell r="D509" t="str">
            <v>zzz</v>
          </cell>
        </row>
        <row r="510">
          <cell r="A510">
            <v>855</v>
          </cell>
          <cell r="B510" t="str">
            <v>Crispbread with beets tartare and kale</v>
          </cell>
          <cell r="C510">
            <v>-1.1000000000000001</v>
          </cell>
          <cell r="D510" t="str">
            <v>zzz</v>
          </cell>
        </row>
        <row r="511">
          <cell r="A511">
            <v>857</v>
          </cell>
          <cell r="B511" t="str">
            <v>Crispbread with deep-fried celeriac</v>
          </cell>
          <cell r="C511">
            <v>-1.1000000000000001</v>
          </cell>
          <cell r="D511" t="str">
            <v>zzz</v>
          </cell>
        </row>
        <row r="512">
          <cell r="A512">
            <v>862</v>
          </cell>
          <cell r="B512" t="str">
            <v>Crispbread with garlic and parmesan cheese</v>
          </cell>
          <cell r="C512">
            <v>-1.1000000000000001</v>
          </cell>
          <cell r="D512" t="str">
            <v>zzz</v>
          </cell>
        </row>
        <row r="513">
          <cell r="A513">
            <v>863</v>
          </cell>
          <cell r="B513" t="str">
            <v>Crispbread with guacamole, cherry tomatoes and chickpeas</v>
          </cell>
          <cell r="C513">
            <v>-1.1000000000000001</v>
          </cell>
          <cell r="D513" t="str">
            <v>zzz</v>
          </cell>
        </row>
        <row r="514">
          <cell r="A514">
            <v>861</v>
          </cell>
          <cell r="B514" t="str">
            <v>Crispbread with harissa and cucumber</v>
          </cell>
          <cell r="C514">
            <v>-1.1000000000000001</v>
          </cell>
          <cell r="D514" t="str">
            <v>zzz</v>
          </cell>
        </row>
        <row r="515">
          <cell r="A515">
            <v>856</v>
          </cell>
          <cell r="B515" t="str">
            <v>Crispbread with marinated carrots and capers</v>
          </cell>
          <cell r="C515">
            <v>-1.1000000000000001</v>
          </cell>
          <cell r="D515" t="str">
            <v>zzz</v>
          </cell>
        </row>
        <row r="516">
          <cell r="A516">
            <v>858</v>
          </cell>
          <cell r="B516" t="str">
            <v>Crispbread with sliced potatoes and crispy onion</v>
          </cell>
          <cell r="C516">
            <v>-1.1000000000000001</v>
          </cell>
          <cell r="D516" t="str">
            <v>zzz</v>
          </cell>
        </row>
        <row r="517">
          <cell r="A517">
            <v>860</v>
          </cell>
          <cell r="B517" t="str">
            <v>Crispbread with spicy hummus and dill</v>
          </cell>
          <cell r="C517">
            <v>-1.1000000000000001</v>
          </cell>
          <cell r="D517" t="str">
            <v>zzz</v>
          </cell>
        </row>
        <row r="518">
          <cell r="A518">
            <v>252</v>
          </cell>
          <cell r="B518" t="str">
            <v>Kidney Bean Lettuce Wraps</v>
          </cell>
          <cell r="C518">
            <v>-1.1000000000000001</v>
          </cell>
          <cell r="D518" t="str">
            <v>zzz</v>
          </cell>
        </row>
        <row r="519">
          <cell r="A519">
            <v>557</v>
          </cell>
          <cell r="B519" t="str">
            <v>Multigrain Garlic Wasa</v>
          </cell>
          <cell r="C519">
            <v>-1.1000000000000001</v>
          </cell>
          <cell r="D519" t="str">
            <v>zzz</v>
          </cell>
        </row>
        <row r="520">
          <cell r="A520">
            <v>558</v>
          </cell>
          <cell r="B520" t="str">
            <v>Multigrain Wasa Parmesan Herb</v>
          </cell>
          <cell r="C520">
            <v>-1.1000000000000001</v>
          </cell>
          <cell r="D520" t="str">
            <v>zzz</v>
          </cell>
        </row>
        <row r="521">
          <cell r="A521">
            <v>597</v>
          </cell>
          <cell r="B521" t="str">
            <v>Open-faced Sandwich with Potato</v>
          </cell>
          <cell r="C521">
            <v>-1.1000000000000001</v>
          </cell>
          <cell r="D521" t="str">
            <v>zzz</v>
          </cell>
        </row>
        <row r="522">
          <cell r="A522">
            <v>553</v>
          </cell>
          <cell r="B522" t="str">
            <v>Wasa 7 Grain with Cream Cheese &amp; Veggies</v>
          </cell>
          <cell r="C522">
            <v>-1.1000000000000001</v>
          </cell>
          <cell r="D522" t="str">
            <v>zzz</v>
          </cell>
        </row>
        <row r="523">
          <cell r="A523">
            <v>550</v>
          </cell>
          <cell r="B523" t="str">
            <v>Wasa Sourdough with Cottage Cheese &amp; Cucumber</v>
          </cell>
          <cell r="C523">
            <v>-1.1000000000000001</v>
          </cell>
          <cell r="D523" t="str">
            <v>zzz</v>
          </cell>
        </row>
        <row r="524">
          <cell r="A524">
            <v>275</v>
          </cell>
          <cell r="B524" t="str">
            <v>Spice&amp;herb pairing</v>
          </cell>
          <cell r="C524">
            <v>-1.1000000000000001</v>
          </cell>
          <cell r="D524" t="str">
            <v>zzz</v>
          </cell>
        </row>
        <row r="525">
          <cell r="A525">
            <v>768</v>
          </cell>
          <cell r="B525" t="str">
            <v>Spicy Sriracha Chickpeas</v>
          </cell>
          <cell r="C525">
            <v>-1.1000000000000001</v>
          </cell>
          <cell r="D525" t="str">
            <v>zzz</v>
          </cell>
        </row>
        <row r="526">
          <cell r="A526">
            <v>656</v>
          </cell>
          <cell r="B526" t="str">
            <v>Tea Smoked Salmon</v>
          </cell>
          <cell r="C526">
            <v>-1.1000000000000001</v>
          </cell>
          <cell r="D526" t="str">
            <v>zzz</v>
          </cell>
        </row>
        <row r="527">
          <cell r="A527">
            <v>369</v>
          </cell>
          <cell r="B527" t="str">
            <v>Butternut Chive Muffins</v>
          </cell>
          <cell r="C527">
            <v>-1.1000000000000001</v>
          </cell>
          <cell r="D527" t="str">
            <v>zzz</v>
          </cell>
        </row>
        <row r="528">
          <cell r="A528">
            <v>451</v>
          </cell>
          <cell r="B528" t="str">
            <v>Avocado Citrus Cake</v>
          </cell>
          <cell r="C528">
            <v>-1.1000000000000001</v>
          </cell>
          <cell r="D528" t="str">
            <v>zzz</v>
          </cell>
        </row>
        <row r="529">
          <cell r="A529">
            <v>599</v>
          </cell>
          <cell r="B529" t="str">
            <v>Banana Muffins with Agrain</v>
          </cell>
          <cell r="C529">
            <v>-1.1000000000000001</v>
          </cell>
          <cell r="D529" t="str">
            <v>zzz</v>
          </cell>
        </row>
        <row r="530">
          <cell r="A530">
            <v>519</v>
          </cell>
          <cell r="B530" t="str">
            <v>Brioche</v>
          </cell>
          <cell r="C530">
            <v>-1.1000000000000001</v>
          </cell>
          <cell r="D530" t="str">
            <v>zzz</v>
          </cell>
        </row>
        <row r="531">
          <cell r="A531">
            <v>568</v>
          </cell>
          <cell r="B531" t="str">
            <v>Brown butter cookies with sugar kelp</v>
          </cell>
          <cell r="C531">
            <v>-1.1000000000000001</v>
          </cell>
          <cell r="D531" t="str">
            <v>zzz</v>
          </cell>
        </row>
        <row r="532">
          <cell r="A532">
            <v>779</v>
          </cell>
          <cell r="B532" t="str">
            <v>Burger Buns</v>
          </cell>
          <cell r="C532">
            <v>-1.1000000000000001</v>
          </cell>
          <cell r="D532" t="str">
            <v>zzz</v>
          </cell>
        </row>
        <row r="533">
          <cell r="A533">
            <v>1015</v>
          </cell>
          <cell r="B533" t="str">
            <v>Burger Buns for test</v>
          </cell>
          <cell r="C533">
            <v>-1.1000000000000001</v>
          </cell>
          <cell r="D533" t="str">
            <v>zzz</v>
          </cell>
        </row>
        <row r="534">
          <cell r="A534">
            <v>1052</v>
          </cell>
          <cell r="B534" t="str">
            <v>Caramel Sauce</v>
          </cell>
          <cell r="C534">
            <v>-1.1000000000000001</v>
          </cell>
          <cell r="D534" t="str">
            <v>zzz</v>
          </cell>
        </row>
        <row r="535">
          <cell r="A535">
            <v>772</v>
          </cell>
          <cell r="B535" t="str">
            <v>Caviar NiÁois</v>
          </cell>
          <cell r="C535">
            <v>-1.1000000000000001</v>
          </cell>
          <cell r="D535" t="str">
            <v>zzz</v>
          </cell>
        </row>
        <row r="536">
          <cell r="A536">
            <v>598</v>
          </cell>
          <cell r="B536" t="str">
            <v>Ceylon Chai Bundt Cake</v>
          </cell>
          <cell r="C536">
            <v>-1.1000000000000001</v>
          </cell>
          <cell r="D536" t="str">
            <v>zzz</v>
          </cell>
        </row>
        <row r="537">
          <cell r="A537">
            <v>1051</v>
          </cell>
          <cell r="B537" t="str">
            <v>Cheesecake - Dr. Oetker</v>
          </cell>
          <cell r="C537">
            <v>-1.1000000000000001</v>
          </cell>
          <cell r="D537" t="str">
            <v>zzz</v>
          </cell>
        </row>
        <row r="538">
          <cell r="A538">
            <v>483</v>
          </cell>
          <cell r="B538" t="str">
            <v>Cheesy Rosemary Buns</v>
          </cell>
          <cell r="C538">
            <v>-1.1000000000000001</v>
          </cell>
          <cell r="D538" t="str">
            <v>zzz</v>
          </cell>
        </row>
        <row r="539">
          <cell r="A539">
            <v>626</v>
          </cell>
          <cell r="B539" t="str">
            <v>Chocolate Brownie with Agrain</v>
          </cell>
          <cell r="C539">
            <v>-1.1000000000000001</v>
          </cell>
          <cell r="D539" t="str">
            <v>zzz</v>
          </cell>
        </row>
        <row r="540">
          <cell r="A540">
            <v>507</v>
          </cell>
          <cell r="B540" t="str">
            <v>La Vitalita Healthy Orange Biscuits</v>
          </cell>
          <cell r="C540">
            <v>-1.1000000000000001</v>
          </cell>
          <cell r="D540" t="str">
            <v>zzz</v>
          </cell>
        </row>
        <row r="541">
          <cell r="A541">
            <v>883</v>
          </cell>
          <cell r="B541" t="str">
            <v>Low FODMAP Berry Protein Fluff</v>
          </cell>
          <cell r="C541">
            <v>-1.1000000000000001</v>
          </cell>
          <cell r="D541" t="str">
            <v>zzz</v>
          </cell>
        </row>
      </sheetData>
      <sheetData sheetId="2"/>
      <sheetData sheetId="3"/>
      <sheetData sheetId="4"/>
      <sheetData sheetId="5"/>
      <sheetData sheetId="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ecipe_notes" connectionId="2" xr16:uid="{2C585C0B-76C7-7E4A-AEDA-3FBA8A747F8D}"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escriptions" connectionId="1" xr16:uid="{C6DBBC57-7F54-0546-82EB-5FC80A1A9C7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1F40-7A77-9E44-8A3B-3C0DF71A7984}">
  <dimension ref="A1:M573"/>
  <sheetViews>
    <sheetView tabSelected="1" workbookViewId="0">
      <pane xSplit="1" ySplit="1" topLeftCell="G2" activePane="bottomRight" state="frozen"/>
      <selection pane="topRight" activeCell="B1" sqref="B1"/>
      <selection pane="bottomLeft" activeCell="A2" sqref="A2"/>
      <selection pane="bottomRight" activeCell="G17" sqref="G17"/>
    </sheetView>
  </sheetViews>
  <sheetFormatPr baseColWidth="10" defaultRowHeight="16" x14ac:dyDescent="0.2"/>
  <cols>
    <col min="1" max="1" width="80.6640625" bestFit="1" customWidth="1"/>
    <col min="2" max="2" width="7.33203125" bestFit="1" customWidth="1"/>
    <col min="3" max="3" width="9.33203125" bestFit="1" customWidth="1"/>
    <col min="4" max="6" width="25.6640625" customWidth="1"/>
    <col min="7" max="8" width="234.6640625" bestFit="1" customWidth="1"/>
    <col min="9" max="13" width="80.6640625" bestFit="1" customWidth="1"/>
    <col min="14" max="14" width="5.83203125" bestFit="1" customWidth="1"/>
  </cols>
  <sheetData>
    <row r="1" spans="1:13" x14ac:dyDescent="0.2">
      <c r="A1" t="s">
        <v>0</v>
      </c>
      <c r="B1" t="s">
        <v>1</v>
      </c>
      <c r="C1" t="s">
        <v>2</v>
      </c>
      <c r="D1" t="s">
        <v>1527</v>
      </c>
      <c r="E1" t="s">
        <v>1528</v>
      </c>
      <c r="F1" t="s">
        <v>1632</v>
      </c>
      <c r="G1" t="s">
        <v>1652</v>
      </c>
      <c r="H1" t="s">
        <v>1652</v>
      </c>
      <c r="I1" t="s">
        <v>3</v>
      </c>
      <c r="J1" t="s">
        <v>4</v>
      </c>
      <c r="K1" t="s">
        <v>5</v>
      </c>
      <c r="L1" t="s">
        <v>6</v>
      </c>
      <c r="M1" t="s">
        <v>7</v>
      </c>
    </row>
    <row r="2" spans="1:13" x14ac:dyDescent="0.2">
      <c r="A2" t="s">
        <v>614</v>
      </c>
      <c r="B2">
        <v>141</v>
      </c>
      <c r="C2">
        <v>1741</v>
      </c>
      <c r="D2">
        <f>VLOOKUP(B2,[1]ManipulationPage!$A$3:$D$541,4,FALSE)</f>
        <v>0</v>
      </c>
      <c r="I2" t="s">
        <v>615</v>
      </c>
      <c r="J2" t="s">
        <v>615</v>
      </c>
      <c r="K2" t="s">
        <v>615</v>
      </c>
    </row>
    <row r="3" spans="1:13" x14ac:dyDescent="0.2">
      <c r="A3" t="s">
        <v>21</v>
      </c>
      <c r="B3">
        <v>1094</v>
      </c>
      <c r="C3">
        <v>9263</v>
      </c>
      <c r="D3" t="str">
        <f>VLOOKUP(B3,[1]ManipulationPage!$A$3:$D$541,4,FALSE)</f>
        <v>Asia</v>
      </c>
      <c r="F3" t="s">
        <v>1634</v>
      </c>
      <c r="G3" t="str">
        <f>VLOOKUP($F3,RecipeNotes!$A$2:$E$62,3,FALSE)</f>
        <v>Shortcut recipe: Mix ingredients and stir around with a fork.</v>
      </c>
      <c r="H3" t="str">
        <f>VLOOKUP($F3,RecipeNotes!$A$2:$E$62,5,FALSE)</f>
        <v>Shortcut opskrift: Bland ingredienser og rør rundt med en gaffel.</v>
      </c>
      <c r="I3" t="s">
        <v>22</v>
      </c>
      <c r="J3" t="s">
        <v>23</v>
      </c>
      <c r="K3" t="s">
        <v>24</v>
      </c>
    </row>
    <row r="4" spans="1:13" x14ac:dyDescent="0.2">
      <c r="A4" t="s">
        <v>21</v>
      </c>
      <c r="B4">
        <v>101</v>
      </c>
      <c r="C4">
        <v>1479</v>
      </c>
      <c r="D4" t="str">
        <f>VLOOKUP(B4,[1]ManipulationPage!$A$3:$D$541,4,FALSE)</f>
        <v>Asia</v>
      </c>
      <c r="F4" t="s">
        <v>1634</v>
      </c>
      <c r="G4" t="str">
        <f>VLOOKUP($F4,RecipeNotes!$A$2:$E$62,3,FALSE)</f>
        <v>Shortcut recipe: Mix ingredients and stir around with a fork.</v>
      </c>
      <c r="H4" t="str">
        <f>VLOOKUP($F4,RecipeNotes!$A$2:$E$62,5,FALSE)</f>
        <v>Shortcut opskrift: Bland ingredienser og rør rundt med en gaffel.</v>
      </c>
      <c r="I4" t="s">
        <v>22</v>
      </c>
      <c r="J4" t="s">
        <v>23</v>
      </c>
      <c r="K4" t="s">
        <v>24</v>
      </c>
    </row>
    <row r="5" spans="1:13" x14ac:dyDescent="0.2">
      <c r="A5" t="s">
        <v>25</v>
      </c>
      <c r="B5">
        <v>988</v>
      </c>
      <c r="C5">
        <v>5420</v>
      </c>
      <c r="D5" t="str">
        <f>VLOOKUP(B5,[1]ManipulationPage!$A$3:$D$541,4,FALSE)</f>
        <v>Asia</v>
      </c>
      <c r="E5" t="s">
        <v>1386</v>
      </c>
      <c r="F5" t="str">
        <f>RecipeNotes!A5</f>
        <v>Salad</v>
      </c>
      <c r="G5" t="str">
        <f>VLOOKUP($F5,RecipeNotes!$A$2:$E$62,3,FALSE)</f>
        <v xml:space="preserve">Shortcut recipe: Cut and mix all ingredients. Taste and balance with salt, sugar, sour, and umami.  </v>
      </c>
      <c r="H5" t="str">
        <f>VLOOKUP($F5,RecipeNotes!$A$2:$E$62,5,FALSE)</f>
        <v xml:space="preserve">Shortcut opskrift: Skær og bland alle ingredienser. Smag til med salt, sukker, syre og umami.  </v>
      </c>
      <c r="I5" t="str">
        <f>RecipeNotes!B2</f>
        <v>Fry your onions and spices with a bit of oil. Add your condiments. Add veggies to the pan. Cook your other ingredients on the side. Once all your ingredients are cooked and ready to eat, mix them. Before toppings, taste and balance your dish by adding salt, sugar, sour, or umami ingredients for increased flavor. Too sour? Add salt and sugar. Too spicy? Add oil and sugar. Too Salty? Add bitter ingredients or fresh herbs. Add toppings and enjoy!</v>
      </c>
      <c r="J5" t="s">
        <v>17</v>
      </c>
      <c r="K5" t="s">
        <v>18</v>
      </c>
      <c r="L5" t="s">
        <v>19</v>
      </c>
      <c r="M5" t="s">
        <v>20</v>
      </c>
    </row>
    <row r="6" spans="1:13" x14ac:dyDescent="0.2">
      <c r="A6" t="s">
        <v>245</v>
      </c>
      <c r="B6">
        <v>3</v>
      </c>
      <c r="C6">
        <v>977</v>
      </c>
      <c r="D6" t="str">
        <f>VLOOKUP(B6,[1]ManipulationPage!$A$3:$D$541,4,FALSE)</f>
        <v>Asia</v>
      </c>
      <c r="E6" t="s">
        <v>1386</v>
      </c>
      <c r="F6" t="s">
        <v>772</v>
      </c>
      <c r="G6" t="str">
        <f>VLOOKUP($F6,RecipeNotes!$A$2:$E$62,3,FALSE)</f>
        <v>Shortcut recipe: Fry onions and spices on a pan. Add veggies. Taste and balance with salt, sugar, sour, and umami.</v>
      </c>
      <c r="H6" t="str">
        <f>VLOOKUP($F6,RecipeNotes!$A$2:$E$62,5,FALSE)</f>
        <v>Shortcut opskrift: Steg løg og krydderier på panden. Tilføj grøntsager Smag til med salt, sukker, syre og umami.</v>
      </c>
      <c r="I6" t="s">
        <v>246</v>
      </c>
      <c r="J6" t="s">
        <v>247</v>
      </c>
      <c r="K6" t="s">
        <v>248</v>
      </c>
    </row>
    <row r="7" spans="1:13" x14ac:dyDescent="0.2">
      <c r="A7" t="s">
        <v>292</v>
      </c>
      <c r="B7">
        <v>361</v>
      </c>
      <c r="D7" t="str">
        <f>VLOOKUP(B7,[1]ManipulationPage!$A$3:$D$541,4,FALSE)</f>
        <v>Asia</v>
      </c>
      <c r="E7" t="s">
        <v>1386</v>
      </c>
      <c r="F7" t="s">
        <v>292</v>
      </c>
      <c r="G7" t="str">
        <f>VLOOKUP($F7,RecipeNotes!$A$2:$E$62,3,FALSE)</f>
        <v>Shortcut recipe: Fry onions and spices on a pan. Add rice and boiling water with stock, let simmer. Taste and balance with salt, sugar, sour, and umami.</v>
      </c>
      <c r="H7" t="str">
        <f>VLOOKUP($F7,RecipeNotes!$A$2:$E$62,5,FALSE)</f>
        <v>Shortcut opskrift: Steg løg og krydderier på panden. Tilføj ris og kogt vand med buillon og lad simre. Smag til med salt, sukker, syre og umami.</v>
      </c>
    </row>
    <row r="8" spans="1:13" x14ac:dyDescent="0.2">
      <c r="A8" t="s">
        <v>466</v>
      </c>
      <c r="B8">
        <v>31</v>
      </c>
      <c r="C8">
        <v>1135</v>
      </c>
      <c r="D8" t="str">
        <f>VLOOKUP(B8,[1]ManipulationPage!$A$3:$D$541,4,FALSE)</f>
        <v>Asia</v>
      </c>
      <c r="E8" t="s">
        <v>1386</v>
      </c>
      <c r="F8" t="s">
        <v>576</v>
      </c>
      <c r="G8" t="str">
        <f>VLOOKUP($F8,RecipeNotes!$A$2:$E$62,3,FALSE)</f>
        <v>Shortcut recipe: Fry onions and spices on a pan. Whisk eggs well with salt, then add to pan. Omelette is done when egg isn't runny.</v>
      </c>
      <c r="H8" t="str">
        <f>VLOOKUP($F8,RecipeNotes!$A$2:$E$62,5,FALSE)</f>
        <v>Shortcut opskrift: Steg løg og krydderier på panden. Bland æg grundigt med salt og andre smags-ingredienser. Tilføj så til panden. Omeletten er klar, når ægget ikke løber længere.</v>
      </c>
      <c r="I8" t="s">
        <v>467</v>
      </c>
      <c r="J8" t="s">
        <v>468</v>
      </c>
      <c r="K8" t="s">
        <v>469</v>
      </c>
    </row>
    <row r="9" spans="1:13" x14ac:dyDescent="0.2">
      <c r="A9" t="s">
        <v>470</v>
      </c>
      <c r="B9">
        <v>930</v>
      </c>
      <c r="D9" t="str">
        <f>VLOOKUP(B9,[1]ManipulationPage!$A$3:$D$541,4,FALSE)</f>
        <v>Asia</v>
      </c>
      <c r="E9" t="s">
        <v>1386</v>
      </c>
      <c r="F9" t="s">
        <v>604</v>
      </c>
      <c r="G9" t="str">
        <f>VLOOKUP($F9,RecipeNotes!$A$2:$E$62,3,FALSE)</f>
        <v>Shortcut recipe: Fry onions and spices on a pan. Mix with cooked pasta, including a cup of the pasta water (for creamy consistency).</v>
      </c>
      <c r="H9" t="str">
        <f>VLOOKUP($F9,RecipeNotes!$A$2:$E$62,5,FALSE)</f>
        <v>Shortcut opskrift: Steg løg og krydderier på panden. Ibland den kogte pasta med en kop pasta vand.</v>
      </c>
    </row>
    <row r="10" spans="1:13" x14ac:dyDescent="0.2">
      <c r="A10" t="s">
        <v>482</v>
      </c>
      <c r="B10">
        <v>552</v>
      </c>
      <c r="D10" t="str">
        <f>VLOOKUP(B10,[1]ManipulationPage!$A$3:$D$541,4,FALSE)</f>
        <v>Asia</v>
      </c>
      <c r="F10" t="s">
        <v>1640</v>
      </c>
      <c r="G10" t="str">
        <f>VLOOKUP($F10,RecipeNotes!$A$2:$E$62,3,FALSE)</f>
        <v>Shortcut recipe: Prepare your ingredients seperately and add as layers on the bread.</v>
      </c>
      <c r="H10" t="str">
        <f>VLOOKUP($F10,RecipeNotes!$A$2:$E$62,5,FALSE)</f>
        <v>Shortcut opskrift: Forbered dine ingredienser sperat og put på brøddet i lag.</v>
      </c>
    </row>
    <row r="11" spans="1:13" x14ac:dyDescent="0.2">
      <c r="A11" t="s">
        <v>483</v>
      </c>
      <c r="B11">
        <v>1012</v>
      </c>
      <c r="C11">
        <v>5856</v>
      </c>
      <c r="D11" t="str">
        <f>VLOOKUP(B11,[1]ManipulationPage!$A$3:$D$541,4,FALSE)</f>
        <v>Asia</v>
      </c>
      <c r="F11" t="s">
        <v>770</v>
      </c>
      <c r="G11" t="str">
        <f>VLOOKUP($F11,RecipeNotes!$A$2:$E$62,3,FALSE)</f>
        <v xml:space="preserve">Shortcut recipe: Fry onions and spices on a pan. Add veggies. Add water with stock/broth. Taste and balance with salt, sugar, sour, and umami.  </v>
      </c>
      <c r="H11" t="str">
        <f>VLOOKUP($F11,RecipeNotes!$A$2:$E$62,5,FALSE)</f>
        <v xml:space="preserve">Shortcut opskrift: Steg løg og krydderier på panden. Tilføj grøntsager Til føj vand med buillon. Smag til med salt, sukker, syre og umami.  </v>
      </c>
      <c r="I11" t="s">
        <v>113</v>
      </c>
      <c r="J11" t="s">
        <v>114</v>
      </c>
      <c r="K11" t="s">
        <v>115</v>
      </c>
      <c r="L11" t="s">
        <v>116</v>
      </c>
      <c r="M11" t="s">
        <v>117</v>
      </c>
    </row>
    <row r="12" spans="1:13" x14ac:dyDescent="0.2">
      <c r="A12" t="s">
        <v>484</v>
      </c>
      <c r="B12">
        <v>931</v>
      </c>
      <c r="D12" t="str">
        <f>VLOOKUP(B12,[1]ManipulationPage!$A$3:$D$541,4,FALSE)</f>
        <v>Asia</v>
      </c>
      <c r="E12" t="s">
        <v>1386</v>
      </c>
      <c r="F12" t="s">
        <v>604</v>
      </c>
      <c r="G12" t="str">
        <f>VLOOKUP($F12,RecipeNotes!$A$2:$E$62,3,FALSE)</f>
        <v>Shortcut recipe: Fry onions and spices on a pan. Mix with cooked pasta, including a cup of the pasta water (for creamy consistency).</v>
      </c>
      <c r="H12" t="str">
        <f>VLOOKUP($F12,RecipeNotes!$A$2:$E$62,5,FALSE)</f>
        <v>Shortcut opskrift: Steg løg og krydderier på panden. Ibland den kogte pasta med en kop pasta vand.</v>
      </c>
    </row>
    <row r="13" spans="1:13" x14ac:dyDescent="0.2">
      <c r="A13" t="s">
        <v>485</v>
      </c>
      <c r="B13">
        <v>61</v>
      </c>
      <c r="C13">
        <v>1289</v>
      </c>
      <c r="D13" t="str">
        <f>VLOOKUP(B13,[1]ManipulationPage!$A$3:$D$541,4,FALSE)</f>
        <v>Asia</v>
      </c>
      <c r="E13" t="s">
        <v>1386</v>
      </c>
      <c r="F13" t="s">
        <v>618</v>
      </c>
      <c r="G13" t="str">
        <f>VLOOKUP($F13,RecipeNotes!$A$2:$E$62,3,FALSE)</f>
        <v>Shortcut recipe: Make your suco of fried onions, spices, and your choice of paste. Add to pizza with your choice of veggies.</v>
      </c>
      <c r="H13" t="str">
        <f>VLOOKUP($F13,RecipeNotes!$A$2:$E$62,5,FALSE)</f>
        <v>Shortcut opskrift: Smør din pizza sauce i tyndt lag (lavet af løg, krydderier og din sauce stegt på en pande). Tilføj dine grøntsager på toppen.</v>
      </c>
      <c r="I13" t="s">
        <v>486</v>
      </c>
      <c r="J13" t="s">
        <v>486</v>
      </c>
      <c r="K13" t="s">
        <v>486</v>
      </c>
    </row>
    <row r="14" spans="1:13" x14ac:dyDescent="0.2">
      <c r="A14" t="s">
        <v>540</v>
      </c>
      <c r="B14">
        <v>56</v>
      </c>
      <c r="C14">
        <v>1259</v>
      </c>
      <c r="D14" t="str">
        <f>VLOOKUP(B14,[1]ManipulationPage!$A$3:$D$541,4,FALSE)</f>
        <v>Asia</v>
      </c>
      <c r="E14" t="s">
        <v>1386</v>
      </c>
      <c r="F14" t="str">
        <f>RecipeNotes!A10</f>
        <v>Chunky soup</v>
      </c>
      <c r="G14" t="str">
        <f>VLOOKUP($F14,RecipeNotes!$A$2:$E$62,3,FALSE)</f>
        <v xml:space="preserve">Shortcut recipe: Fry onions and spices on a pan. Add veggies. Add water with stock/broth. Taste and balance with salt, sugar, sour, and umami.  </v>
      </c>
      <c r="H14" t="str">
        <f>VLOOKUP($F14,RecipeNotes!$A$2:$E$62,5,FALSE)</f>
        <v xml:space="preserve">Shortcut opskrift: Steg løg og krydderier på panden. Tilføj grøntsager Til føj vand med buillon. Smag til med salt, sukker, syre og umami.  </v>
      </c>
      <c r="I14" t="s">
        <v>541</v>
      </c>
      <c r="J14" t="s">
        <v>542</v>
      </c>
      <c r="K14" t="s">
        <v>543</v>
      </c>
    </row>
    <row r="15" spans="1:13" x14ac:dyDescent="0.2">
      <c r="A15" t="s">
        <v>596</v>
      </c>
      <c r="B15">
        <v>258</v>
      </c>
      <c r="C15">
        <v>2422</v>
      </c>
      <c r="D15" t="str">
        <f>VLOOKUP(B15,[1]ManipulationPage!$A$3:$D$541,4,FALSE)</f>
        <v>Asia</v>
      </c>
      <c r="E15" t="s">
        <v>1386</v>
      </c>
      <c r="F15" t="str">
        <f>RecipeNotes!A2</f>
        <v>Stir-Fry</v>
      </c>
      <c r="G15" t="str">
        <f>VLOOKUP($F15,RecipeNotes!$A$2:$E$62,3,FALSE)</f>
        <v>Shortcut recipe: Fry onions and spices on a pan. Add veggies. Taste and balance with salt, sugar, sour, and umami.</v>
      </c>
      <c r="H15" t="str">
        <f>VLOOKUP($F15,RecipeNotes!$A$2:$E$62,5,FALSE)</f>
        <v>Shortcut opskrift: Steg løg og krydderier på panden. Tilføj grøntsager Smag til med salt, sukker, syre og umami.</v>
      </c>
      <c r="I15" t="s">
        <v>97</v>
      </c>
      <c r="J15" t="s">
        <v>98</v>
      </c>
      <c r="K15" t="s">
        <v>99</v>
      </c>
    </row>
    <row r="16" spans="1:13" x14ac:dyDescent="0.2">
      <c r="A16" t="s">
        <v>661</v>
      </c>
      <c r="B16">
        <v>1059</v>
      </c>
      <c r="C16">
        <v>7733</v>
      </c>
      <c r="D16" t="str">
        <f>VLOOKUP(B16,[1]ManipulationPage!$A$3:$D$541,4,FALSE)</f>
        <v>Asia</v>
      </c>
      <c r="E16" t="s">
        <v>1386</v>
      </c>
      <c r="F16" t="str">
        <f>F14</f>
        <v>Chunky soup</v>
      </c>
      <c r="G16" t="str">
        <f>VLOOKUP($F16,RecipeNotes!$A$2:$E$62,3,FALSE)</f>
        <v xml:space="preserve">Shortcut recipe: Fry onions and spices on a pan. Add veggies. Add water with stock/broth. Taste and balance with salt, sugar, sour, and umami.  </v>
      </c>
      <c r="H16" t="str">
        <f>VLOOKUP($F16,RecipeNotes!$A$2:$E$62,5,FALSE)</f>
        <v xml:space="preserve">Shortcut opskrift: Steg løg og krydderier på panden. Tilføj grøntsager Til føj vand med buillon. Smag til med salt, sukker, syre og umami.  </v>
      </c>
    </row>
    <row r="17" spans="1:13" x14ac:dyDescent="0.2">
      <c r="A17" t="s">
        <v>725</v>
      </c>
      <c r="B17">
        <v>317</v>
      </c>
      <c r="C17">
        <v>2714</v>
      </c>
      <c r="D17" t="str">
        <f>VLOOKUP(B17,[1]ManipulationPage!$A$3:$D$541,4,FALSE)</f>
        <v>Asia</v>
      </c>
      <c r="E17" t="s">
        <v>1386</v>
      </c>
      <c r="F17" t="str">
        <f>RecipeNotes!A12</f>
        <v>Oven roast</v>
      </c>
      <c r="G17" t="str">
        <f>VLOOKUP($F17,RecipeNotes!$A$2:$E$62,3,FALSE)</f>
        <v xml:space="preserve">Shortcut recipe: Roast veggies with onion, spices, salt, and oil in the oven.  Taste and balance with salt, sugar, sour, and umami.  </v>
      </c>
      <c r="H17" t="str">
        <f>VLOOKUP($F17,RecipeNotes!$A$2:$E$62,5,FALSE)</f>
        <v xml:space="preserve">Shortcut opskrift: Læg grøntsagerne i ovnen med løg, krydderier, salt og olie.  Smag til med salt, sukker, syre og umami.  </v>
      </c>
      <c r="I17" t="s">
        <v>726</v>
      </c>
      <c r="J17" t="s">
        <v>726</v>
      </c>
      <c r="K17" t="s">
        <v>726</v>
      </c>
    </row>
    <row r="18" spans="1:13" x14ac:dyDescent="0.2">
      <c r="A18" t="s">
        <v>727</v>
      </c>
      <c r="B18">
        <v>967</v>
      </c>
      <c r="C18">
        <v>5060</v>
      </c>
      <c r="D18" t="str">
        <f>VLOOKUP(B18,[1]ManipulationPage!$A$3:$D$541,4,FALSE)</f>
        <v>Asia</v>
      </c>
      <c r="E18" t="s">
        <v>1386</v>
      </c>
      <c r="F18" t="s">
        <v>772</v>
      </c>
      <c r="G18" t="str">
        <f>VLOOKUP($F18,RecipeNotes!$A$2:$E$62,3,FALSE)</f>
        <v>Shortcut recipe: Fry onions and spices on a pan. Add veggies. Taste and balance with salt, sugar, sour, and umami.</v>
      </c>
      <c r="H18" t="str">
        <f>VLOOKUP($F18,RecipeNotes!$A$2:$E$62,5,FALSE)</f>
        <v>Shortcut opskrift: Steg løg og krydderier på panden. Tilføj grøntsager Smag til med salt, sukker, syre og umami.</v>
      </c>
      <c r="I18" t="s">
        <v>97</v>
      </c>
      <c r="J18" t="s">
        <v>98</v>
      </c>
      <c r="K18" t="s">
        <v>99</v>
      </c>
      <c r="L18" t="s">
        <v>100</v>
      </c>
      <c r="M18" t="s">
        <v>101</v>
      </c>
    </row>
    <row r="19" spans="1:13" x14ac:dyDescent="0.2">
      <c r="A19" t="s">
        <v>856</v>
      </c>
      <c r="B19">
        <v>969</v>
      </c>
      <c r="C19">
        <v>5088</v>
      </c>
      <c r="D19" t="str">
        <f>VLOOKUP(B19,[1]ManipulationPage!$A$3:$D$541,4,FALSE)</f>
        <v>Asia</v>
      </c>
      <c r="E19" t="s">
        <v>1386</v>
      </c>
      <c r="F19" t="s">
        <v>772</v>
      </c>
      <c r="G19" t="str">
        <f>VLOOKUP($F19,RecipeNotes!$A$2:$E$62,3,FALSE)</f>
        <v>Shortcut recipe: Fry onions and spices on a pan. Add veggies. Taste and balance with salt, sugar, sour, and umami.</v>
      </c>
      <c r="H19" t="str">
        <f>VLOOKUP($F19,RecipeNotes!$A$2:$E$62,5,FALSE)</f>
        <v>Shortcut opskrift: Steg løg og krydderier på panden. Tilføj grøntsager Smag til med salt, sukker, syre og umami.</v>
      </c>
      <c r="I19" t="s">
        <v>97</v>
      </c>
      <c r="J19" t="s">
        <v>98</v>
      </c>
      <c r="K19" t="s">
        <v>99</v>
      </c>
      <c r="L19" t="s">
        <v>135</v>
      </c>
      <c r="M19" t="s">
        <v>101</v>
      </c>
    </row>
    <row r="20" spans="1:13" x14ac:dyDescent="0.2">
      <c r="A20" t="s">
        <v>52</v>
      </c>
      <c r="B20">
        <v>389</v>
      </c>
      <c r="C20">
        <v>2928</v>
      </c>
      <c r="D20" t="str">
        <f>VLOOKUP(B20,[1]ManipulationPage!$A$3:$D$541,4,FALSE)</f>
        <v>Baking</v>
      </c>
      <c r="F20" t="s">
        <v>363</v>
      </c>
      <c r="G20" t="str">
        <f>VLOOKUP($F20,RecipeNotes!$A$2:$E$62,3,FALSE)</f>
        <v>Shortcut recipe: Mash until reaches a cookie dough-like consistency. Add a little more wet or dry ingredients if needed to get the right texture. Form into balls and enjoy!</v>
      </c>
      <c r="H20" t="str">
        <f>VLOOKUP($F20,RecipeNotes!$A$2:$E$62,5,FALSE)</f>
        <v>Shortcut opskrift: Ælt indtil konsistensen minder om kagedej. Form indtil kugler.</v>
      </c>
      <c r="I20" t="s">
        <v>53</v>
      </c>
      <c r="J20" t="s">
        <v>54</v>
      </c>
      <c r="K20" t="s">
        <v>53</v>
      </c>
    </row>
    <row r="21" spans="1:13" x14ac:dyDescent="0.2">
      <c r="A21" t="s">
        <v>55</v>
      </c>
      <c r="B21">
        <v>777</v>
      </c>
      <c r="C21">
        <v>3726</v>
      </c>
      <c r="D21" t="str">
        <f>VLOOKUP(B21,[1]ManipulationPage!$A$3:$D$541,4,FALSE)</f>
        <v>Baking</v>
      </c>
      <c r="G21" t="e">
        <f>VLOOKUP($F21,RecipeNotes!$A$2:$E$62,3,FALSE)</f>
        <v>#N/A</v>
      </c>
      <c r="H21" t="e">
        <f>VLOOKUP($F21,RecipeNotes!$A$2:$E$62,5,FALSE)</f>
        <v>#N/A</v>
      </c>
    </row>
    <row r="22" spans="1:13" x14ac:dyDescent="0.2">
      <c r="A22" t="s">
        <v>77</v>
      </c>
      <c r="B22">
        <v>447</v>
      </c>
      <c r="C22">
        <v>3066</v>
      </c>
      <c r="D22" t="str">
        <f>VLOOKUP(B22,[1]ManipulationPage!$A$3:$D$541,4,FALSE)</f>
        <v>Baking</v>
      </c>
      <c r="F22" t="s">
        <v>173</v>
      </c>
      <c r="G22" t="str">
        <f>VLOOKUP($F22,RecipeNotes!$A$2:$E$62,3,FALSE)</f>
        <v>Shortcut recipe: Fold the dry ingredients gently into the wet ingredients. Bake at 180°C until a toothpick inserted in the middle comes out clean (about 40 minutes).</v>
      </c>
      <c r="H22" t="str">
        <f>VLOOKUP($F22,RecipeNotes!$A$2:$E$62,5,FALSE)</f>
        <v>Shortcut opskrift: Fold de tørre ingredienser ind i de våde. Bag i ovnen indtil en tandstik kan komme ud af dem uden dej sidder fast (ca 40 minutter).</v>
      </c>
      <c r="I22" t="s">
        <v>38</v>
      </c>
      <c r="J22" t="s">
        <v>39</v>
      </c>
      <c r="K22" t="s">
        <v>38</v>
      </c>
    </row>
    <row r="23" spans="1:13" x14ac:dyDescent="0.2">
      <c r="A23" t="s">
        <v>102</v>
      </c>
      <c r="B23">
        <v>627</v>
      </c>
      <c r="C23">
        <v>3389</v>
      </c>
      <c r="D23" t="str">
        <f>VLOOKUP(B23,[1]ManipulationPage!$A$3:$D$541,4,FALSE)</f>
        <v>Baking</v>
      </c>
      <c r="F23" t="s">
        <v>173</v>
      </c>
      <c r="G23" t="str">
        <f>VLOOKUP($F23,RecipeNotes!$A$2:$E$62,3,FALSE)</f>
        <v>Shortcut recipe: Fold the dry ingredients gently into the wet ingredients. Bake at 180°C until a toothpick inserted in the middle comes out clean (about 40 minutes).</v>
      </c>
      <c r="H23" t="str">
        <f>VLOOKUP($F23,RecipeNotes!$A$2:$E$62,5,FALSE)</f>
        <v>Shortcut opskrift: Fold de tørre ingredienser ind i de våde. Bag i ovnen indtil en tandstik kan komme ud af dem uden dej sidder fast (ca 40 minutter).</v>
      </c>
    </row>
    <row r="24" spans="1:13" x14ac:dyDescent="0.2">
      <c r="A24" t="s">
        <v>103</v>
      </c>
      <c r="B24">
        <v>628</v>
      </c>
      <c r="C24">
        <v>3391</v>
      </c>
      <c r="D24" t="str">
        <f>VLOOKUP(B24,[1]ManipulationPage!$A$3:$D$541,4,FALSE)</f>
        <v>Baking</v>
      </c>
      <c r="F24" t="s">
        <v>173</v>
      </c>
      <c r="G24" t="str">
        <f>VLOOKUP($F24,RecipeNotes!$A$2:$E$62,3,FALSE)</f>
        <v>Shortcut recipe: Fold the dry ingredients gently into the wet ingredients. Bake at 180°C until a toothpick inserted in the middle comes out clean (about 40 minutes).</v>
      </c>
      <c r="H24" t="str">
        <f>VLOOKUP($F24,RecipeNotes!$A$2:$E$62,5,FALSE)</f>
        <v>Shortcut opskrift: Fold de tørre ingredienser ind i de våde. Bag i ovnen indtil en tandstik kan komme ud af dem uden dej sidder fast (ca 40 minutter).</v>
      </c>
    </row>
    <row r="25" spans="1:13" x14ac:dyDescent="0.2">
      <c r="A25" t="s">
        <v>106</v>
      </c>
      <c r="B25">
        <v>467</v>
      </c>
      <c r="C25">
        <v>3100</v>
      </c>
      <c r="D25" t="str">
        <f>VLOOKUP(B25,[1]ManipulationPage!$A$3:$D$541,4,FALSE)</f>
        <v>Baking</v>
      </c>
      <c r="F25" t="s">
        <v>1643</v>
      </c>
      <c r="G25" t="str">
        <f>VLOOKUP($F25,RecipeNotes!$A$2:$E$62,3,FALSE)</f>
        <v>Shortcut recipe: Gently mix the wet ingredients into the dry. Bake in oven until a toothpick comes out clean when pricking them (about 30 minutes)</v>
      </c>
      <c r="H25" t="str">
        <f>VLOOKUP($F25,RecipeNotes!$A$2:$E$62,5,FALSE)</f>
        <v>Shortcut opskrift: Ælt de våde ingredienser indi i de tørre nænsomt. Bag i ovnen indtil en tandstik kan komme ud af dem uden dej sidder fast.</v>
      </c>
    </row>
    <row r="26" spans="1:13" x14ac:dyDescent="0.2">
      <c r="A26" t="s">
        <v>107</v>
      </c>
      <c r="B26">
        <v>457</v>
      </c>
      <c r="C26">
        <v>3081</v>
      </c>
      <c r="D26" t="str">
        <f>VLOOKUP(B26,[1]ManipulationPage!$A$3:$D$541,4,FALSE)</f>
        <v>Baking</v>
      </c>
      <c r="F26" t="s">
        <v>173</v>
      </c>
      <c r="G26" t="str">
        <f>VLOOKUP($F26,RecipeNotes!$A$2:$E$62,3,FALSE)</f>
        <v>Shortcut recipe: Fold the dry ingredients gently into the wet ingredients. Bake at 180°C until a toothpick inserted in the middle comes out clean (about 40 minutes).</v>
      </c>
      <c r="H26" t="str">
        <f>VLOOKUP($F26,RecipeNotes!$A$2:$E$62,5,FALSE)</f>
        <v>Shortcut opskrift: Fold de tørre ingredienser ind i de våde. Bag i ovnen indtil en tandstik kan komme ud af dem uden dej sidder fast (ca 40 minutter).</v>
      </c>
      <c r="I26" t="s">
        <v>108</v>
      </c>
      <c r="J26" t="s">
        <v>109</v>
      </c>
      <c r="K26" t="s">
        <v>108</v>
      </c>
    </row>
    <row r="27" spans="1:13" x14ac:dyDescent="0.2">
      <c r="A27" t="s">
        <v>128</v>
      </c>
      <c r="B27">
        <v>1149</v>
      </c>
      <c r="C27">
        <v>10081</v>
      </c>
      <c r="D27" t="str">
        <f>VLOOKUP(B27,[1]ManipulationPage!$A$3:$D$541,4,FALSE)</f>
        <v>Baking</v>
      </c>
      <c r="F27" t="s">
        <v>125</v>
      </c>
      <c r="G27" t="str">
        <f>VLOOKUP($F27,RecipeNotes!$A$2:$E$62,3,FALSE)</f>
        <v>Shortcut recipe: knead in the wet ingredients into the dry until no flour pockets remain. Raise for 5 hours and bake for 1 hour (180 degrees).</v>
      </c>
      <c r="H27" t="str">
        <f>VLOOKUP($F27,RecipeNotes!$A$2:$E$62,5,FALSE)</f>
        <v>Shortcut opskrift: Ælt de våde ingredienser indi ide tørre, indtil der ikke er mel-lommer. Hæv i mindst 5 timer, bag i ovnen i en time (180 grader).</v>
      </c>
    </row>
    <row r="28" spans="1:13" x14ac:dyDescent="0.2">
      <c r="A28" t="s">
        <v>129</v>
      </c>
      <c r="B28">
        <v>421</v>
      </c>
      <c r="C28">
        <v>3012</v>
      </c>
      <c r="D28" t="str">
        <f>VLOOKUP(B28,[1]ManipulationPage!$A$3:$D$541,4,FALSE)</f>
        <v>Baking</v>
      </c>
      <c r="G28" t="e">
        <f>VLOOKUP($F28,RecipeNotes!$A$2:$E$62,3,FALSE)</f>
        <v>#N/A</v>
      </c>
      <c r="H28" t="e">
        <f>VLOOKUP($F28,RecipeNotes!$A$2:$E$62,5,FALSE)</f>
        <v>#N/A</v>
      </c>
      <c r="I28" t="s">
        <v>130</v>
      </c>
    </row>
    <row r="29" spans="1:13" x14ac:dyDescent="0.2">
      <c r="A29" t="s">
        <v>131</v>
      </c>
      <c r="B29">
        <v>481</v>
      </c>
      <c r="C29">
        <v>3126</v>
      </c>
      <c r="D29" t="str">
        <f>VLOOKUP(B29,[1]ManipulationPage!$A$3:$D$541,4,FALSE)</f>
        <v>Baking</v>
      </c>
      <c r="F29" t="s">
        <v>125</v>
      </c>
      <c r="G29" t="str">
        <f>VLOOKUP($F29,RecipeNotes!$A$2:$E$62,3,FALSE)</f>
        <v>Shortcut recipe: knead in the wet ingredients into the dry until no flour pockets remain. Raise for 5 hours and bake for 1 hour (180 degrees).</v>
      </c>
      <c r="H29" t="str">
        <f>VLOOKUP($F29,RecipeNotes!$A$2:$E$62,5,FALSE)</f>
        <v>Shortcut opskrift: Ælt de våde ingredienser indi ide tørre, indtil der ikke er mel-lommer. Hæv i mindst 5 timer, bag i ovnen i en time (180 grader).</v>
      </c>
    </row>
    <row r="30" spans="1:13" x14ac:dyDescent="0.2">
      <c r="A30" t="s">
        <v>150</v>
      </c>
      <c r="B30">
        <v>743</v>
      </c>
      <c r="C30">
        <v>3658</v>
      </c>
      <c r="D30" t="str">
        <f>VLOOKUP(B30,[1]ManipulationPage!$A$3:$D$541,4,FALSE)</f>
        <v>Baking</v>
      </c>
      <c r="F30" t="s">
        <v>173</v>
      </c>
      <c r="G30" t="str">
        <f>VLOOKUP($F30,RecipeNotes!$A$2:$E$62,3,FALSE)</f>
        <v>Shortcut recipe: Fold the dry ingredients gently into the wet ingredients. Bake at 180°C until a toothpick inserted in the middle comes out clean (about 40 minutes).</v>
      </c>
      <c r="H30" t="str">
        <f>VLOOKUP($F30,RecipeNotes!$A$2:$E$62,5,FALSE)</f>
        <v>Shortcut opskrift: Fold de tørre ingredienser ind i de våde. Bag i ovnen indtil en tandstik kan komme ud af dem uden dej sidder fast (ca 40 minutter).</v>
      </c>
    </row>
    <row r="31" spans="1:13" x14ac:dyDescent="0.2">
      <c r="A31" t="s">
        <v>152</v>
      </c>
      <c r="B31">
        <v>1153</v>
      </c>
      <c r="C31">
        <v>10097</v>
      </c>
      <c r="D31" t="str">
        <f>VLOOKUP(B31,[1]ManipulationPage!$A$3:$D$541,4,FALSE)</f>
        <v>Baking</v>
      </c>
      <c r="F31" t="s">
        <v>173</v>
      </c>
      <c r="G31" t="str">
        <f>VLOOKUP($F31,RecipeNotes!$A$2:$E$62,3,FALSE)</f>
        <v>Shortcut recipe: Fold the dry ingredients gently into the wet ingredients. Bake at 180°C until a toothpick inserted in the middle comes out clean (about 40 minutes).</v>
      </c>
      <c r="H31" t="str">
        <f>VLOOKUP($F31,RecipeNotes!$A$2:$E$62,5,FALSE)</f>
        <v>Shortcut opskrift: Fold de tørre ingredienser ind i de våde. Bag i ovnen indtil en tandstik kan komme ud af dem uden dej sidder fast (ca 40 minutter).</v>
      </c>
    </row>
    <row r="32" spans="1:13" x14ac:dyDescent="0.2">
      <c r="A32" t="s">
        <v>218</v>
      </c>
      <c r="B32">
        <v>667</v>
      </c>
      <c r="C32">
        <v>3487</v>
      </c>
      <c r="D32" t="str">
        <f>VLOOKUP(B32,[1]ManipulationPage!$A$3:$D$541,4,FALSE)</f>
        <v>Baking</v>
      </c>
      <c r="G32" t="e">
        <f>VLOOKUP($F32,RecipeNotes!$A$2:$E$62,3,FALSE)</f>
        <v>#N/A</v>
      </c>
      <c r="H32" t="e">
        <f>VLOOKUP($F32,RecipeNotes!$A$2:$E$62,5,FALSE)</f>
        <v>#N/A</v>
      </c>
      <c r="I32" t="s">
        <v>215</v>
      </c>
      <c r="J32" t="s">
        <v>216</v>
      </c>
      <c r="K32" t="s">
        <v>217</v>
      </c>
    </row>
    <row r="33" spans="1:11" x14ac:dyDescent="0.2">
      <c r="A33" t="s">
        <v>233</v>
      </c>
      <c r="B33">
        <v>826</v>
      </c>
      <c r="C33">
        <v>3830</v>
      </c>
      <c r="D33" t="str">
        <f>VLOOKUP(B33,[1]ManipulationPage!$A$3:$D$541,4,FALSE)</f>
        <v>Baking</v>
      </c>
      <c r="F33" t="s">
        <v>1643</v>
      </c>
      <c r="G33" t="str">
        <f>VLOOKUP($F33,RecipeNotes!$A$2:$E$62,3,FALSE)</f>
        <v>Shortcut recipe: Gently mix the wet ingredients into the dry. Bake in oven until a toothpick comes out clean when pricking them (about 30 minutes)</v>
      </c>
      <c r="H33" t="str">
        <f>VLOOKUP($F33,RecipeNotes!$A$2:$E$62,5,FALSE)</f>
        <v>Shortcut opskrift: Ælt de våde ingredienser indi i de tørre nænsomt. Bag i ovnen indtil en tandstik kan komme ud af dem uden dej sidder fast.</v>
      </c>
      <c r="I33" t="s">
        <v>161</v>
      </c>
      <c r="J33" t="s">
        <v>161</v>
      </c>
      <c r="K33" t="s">
        <v>161</v>
      </c>
    </row>
    <row r="34" spans="1:11" x14ac:dyDescent="0.2">
      <c r="A34" t="s">
        <v>234</v>
      </c>
      <c r="B34">
        <v>600</v>
      </c>
      <c r="D34" t="str">
        <f>VLOOKUP(B34,[1]ManipulationPage!$A$3:$D$541,4,FALSE)</f>
        <v>Baking</v>
      </c>
      <c r="F34" t="s">
        <v>173</v>
      </c>
      <c r="G34" t="str">
        <f>VLOOKUP($F34,RecipeNotes!$A$2:$E$62,3,FALSE)</f>
        <v>Shortcut recipe: Fold the dry ingredients gently into the wet ingredients. Bake at 180°C until a toothpick inserted in the middle comes out clean (about 40 minutes).</v>
      </c>
      <c r="H34" t="str">
        <f>VLOOKUP($F34,RecipeNotes!$A$2:$E$62,5,FALSE)</f>
        <v>Shortcut opskrift: Fold de tørre ingredienser ind i de våde. Bag i ovnen indtil en tandstik kan komme ud af dem uden dej sidder fast (ca 40 minutter).</v>
      </c>
    </row>
    <row r="35" spans="1:11" x14ac:dyDescent="0.2">
      <c r="A35" t="s">
        <v>236</v>
      </c>
      <c r="B35">
        <v>429</v>
      </c>
      <c r="C35">
        <v>3037</v>
      </c>
      <c r="D35" t="str">
        <f>VLOOKUP(B35,[1]ManipulationPage!$A$3:$D$541,4,FALSE)</f>
        <v>Baking</v>
      </c>
      <c r="F35" t="s">
        <v>1650</v>
      </c>
      <c r="G35" t="str">
        <f>VLOOKUP($F35,RecipeNotes!$A$2:$E$62,3,FALSE)</f>
        <v>Shortcut recipe: Beat in the wet ingredients into the dry until no flour pockets remain. Do not overmix. Bake for 60 minutes (180 degrees)</v>
      </c>
      <c r="H35" t="str">
        <f>VLOOKUP($F35,RecipeNotes!$A$2:$E$62,5,FALSE)</f>
        <v>Shortcut opskrift: Slå de våde ingredienser indi de tørre indtil der ikke er flere 'mel-lommer' i dejen. Bag i ca 60 minutter (180 grader).</v>
      </c>
      <c r="I35" t="s">
        <v>237</v>
      </c>
      <c r="J35" t="s">
        <v>238</v>
      </c>
      <c r="K35" t="s">
        <v>237</v>
      </c>
    </row>
    <row r="36" spans="1:11" x14ac:dyDescent="0.2">
      <c r="A36" t="s">
        <v>239</v>
      </c>
      <c r="B36">
        <v>687</v>
      </c>
      <c r="C36">
        <v>3534</v>
      </c>
      <c r="D36" t="str">
        <f>VLOOKUP(B36,[1]ManipulationPage!$A$3:$D$541,4,FALSE)</f>
        <v>Baking</v>
      </c>
      <c r="G36" t="e">
        <f>VLOOKUP($F36,RecipeNotes!$A$2:$E$62,3,FALSE)</f>
        <v>#N/A</v>
      </c>
      <c r="H36" t="e">
        <f>VLOOKUP($F36,RecipeNotes!$A$2:$E$62,5,FALSE)</f>
        <v>#N/A</v>
      </c>
      <c r="I36" t="s">
        <v>240</v>
      </c>
    </row>
    <row r="37" spans="1:11" x14ac:dyDescent="0.2">
      <c r="A37" t="s">
        <v>259</v>
      </c>
      <c r="B37">
        <v>477</v>
      </c>
      <c r="C37">
        <v>3118</v>
      </c>
      <c r="D37" t="str">
        <f>VLOOKUP(B37,[1]ManipulationPage!$A$3:$D$541,4,FALSE)</f>
        <v>Baking</v>
      </c>
      <c r="G37" t="e">
        <f>VLOOKUP($F37,RecipeNotes!$A$2:$E$62,3,FALSE)</f>
        <v>#N/A</v>
      </c>
      <c r="H37" t="e">
        <f>VLOOKUP($F37,RecipeNotes!$A$2:$E$62,5,FALSE)</f>
        <v>#N/A</v>
      </c>
      <c r="I37" t="s">
        <v>260</v>
      </c>
      <c r="J37" t="s">
        <v>261</v>
      </c>
      <c r="K37" t="s">
        <v>260</v>
      </c>
    </row>
    <row r="38" spans="1:11" x14ac:dyDescent="0.2">
      <c r="A38" t="s">
        <v>262</v>
      </c>
      <c r="B38">
        <v>676</v>
      </c>
      <c r="C38">
        <v>3511</v>
      </c>
      <c r="D38" t="str">
        <f>VLOOKUP(B38,[1]ManipulationPage!$A$3:$D$541,4,FALSE)</f>
        <v>Baking</v>
      </c>
      <c r="F38" t="s">
        <v>173</v>
      </c>
      <c r="G38" t="str">
        <f>VLOOKUP($F38,RecipeNotes!$A$2:$E$62,3,FALSE)</f>
        <v>Shortcut recipe: Fold the dry ingredients gently into the wet ingredients. Bake at 180°C until a toothpick inserted in the middle comes out clean (about 40 minutes).</v>
      </c>
      <c r="H38" t="str">
        <f>VLOOKUP($F38,RecipeNotes!$A$2:$E$62,5,FALSE)</f>
        <v>Shortcut opskrift: Fold de tørre ingredienser ind i de våde. Bag i ovnen indtil en tandstik kan komme ud af dem uden dej sidder fast (ca 40 minutter).</v>
      </c>
    </row>
    <row r="39" spans="1:11" x14ac:dyDescent="0.2">
      <c r="A39" t="s">
        <v>262</v>
      </c>
      <c r="B39">
        <v>685</v>
      </c>
      <c r="C39">
        <v>3529</v>
      </c>
      <c r="D39" t="str">
        <f>VLOOKUP(B39,[1]ManipulationPage!$A$3:$D$541,4,FALSE)</f>
        <v>Baking</v>
      </c>
      <c r="F39" t="s">
        <v>173</v>
      </c>
      <c r="G39" t="str">
        <f>VLOOKUP($F39,RecipeNotes!$A$2:$E$62,3,FALSE)</f>
        <v>Shortcut recipe: Fold the dry ingredients gently into the wet ingredients. Bake at 180°C until a toothpick inserted in the middle comes out clean (about 40 minutes).</v>
      </c>
      <c r="H39" t="str">
        <f>VLOOKUP($F39,RecipeNotes!$A$2:$E$62,5,FALSE)</f>
        <v>Shortcut opskrift: Fold de tørre ingredienser ind i de våde. Bag i ovnen indtil en tandstik kan komme ud af dem uden dej sidder fast (ca 40 minutter).</v>
      </c>
    </row>
    <row r="40" spans="1:11" x14ac:dyDescent="0.2">
      <c r="A40" t="s">
        <v>263</v>
      </c>
      <c r="B40">
        <v>391</v>
      </c>
      <c r="C40">
        <v>2937</v>
      </c>
      <c r="D40" t="str">
        <f>VLOOKUP(B40,[1]ManipulationPage!$A$3:$D$541,4,FALSE)</f>
        <v>Baking</v>
      </c>
      <c r="F40" t="s">
        <v>210</v>
      </c>
      <c r="G40" t="str">
        <f>VLOOKUP($F40,RecipeNotes!$A$2:$E$62,3,FALSE)</f>
        <v>Shortcut recipe: Bake crust for 10 minutes, then add 'cheese' in the springform, and bake for another 45 minutes. Put in fridge overnight.</v>
      </c>
      <c r="H40" t="str">
        <f>VLOOKUP($F40,RecipeNotes!$A$2:$E$62,5,FALSE)</f>
        <v>Shortcut opskrift: Bag dejen i 10 minutter, tilføj derefter ost i springformen og bag i yderligere 45 mintter. Put i køleren over natten.</v>
      </c>
      <c r="I40" t="s">
        <v>264</v>
      </c>
      <c r="J40" t="s">
        <v>265</v>
      </c>
      <c r="K40" t="s">
        <v>264</v>
      </c>
    </row>
    <row r="41" spans="1:11" x14ac:dyDescent="0.2">
      <c r="A41" t="s">
        <v>282</v>
      </c>
      <c r="B41">
        <v>375</v>
      </c>
      <c r="C41">
        <v>2893</v>
      </c>
      <c r="D41" t="str">
        <f>VLOOKUP(B41,[1]ManipulationPage!$A$3:$D$541,4,FALSE)</f>
        <v>Baking</v>
      </c>
      <c r="F41" t="s">
        <v>1643</v>
      </c>
      <c r="G41" t="str">
        <f>VLOOKUP($F41,RecipeNotes!$A$2:$E$62,3,FALSE)</f>
        <v>Shortcut recipe: Gently mix the wet ingredients into the dry. Bake in oven until a toothpick comes out clean when pricking them (about 30 minutes)</v>
      </c>
      <c r="H41" t="str">
        <f>VLOOKUP($F41,RecipeNotes!$A$2:$E$62,5,FALSE)</f>
        <v>Shortcut opskrift: Ælt de våde ingredienser indi i de tørre nænsomt. Bag i ovnen indtil en tandstik kan komme ud af dem uden dej sidder fast.</v>
      </c>
      <c r="I41" t="s">
        <v>283</v>
      </c>
      <c r="J41" t="s">
        <v>284</v>
      </c>
      <c r="K41" t="s">
        <v>285</v>
      </c>
    </row>
    <row r="42" spans="1:11" x14ac:dyDescent="0.2">
      <c r="A42" t="s">
        <v>286</v>
      </c>
      <c r="B42">
        <v>433</v>
      </c>
      <c r="C42">
        <v>3045</v>
      </c>
      <c r="D42" t="str">
        <f>VLOOKUP(B42,[1]ManipulationPage!$A$3:$D$541,4,FALSE)</f>
        <v>Baking</v>
      </c>
      <c r="G42" t="e">
        <f>VLOOKUP($F42,RecipeNotes!$A$2:$E$62,3,FALSE)</f>
        <v>#N/A</v>
      </c>
      <c r="H42" t="e">
        <f>VLOOKUP($F42,RecipeNotes!$A$2:$E$62,5,FALSE)</f>
        <v>#N/A</v>
      </c>
      <c r="I42" t="s">
        <v>287</v>
      </c>
      <c r="J42" t="s">
        <v>288</v>
      </c>
      <c r="K42" t="s">
        <v>287</v>
      </c>
    </row>
    <row r="43" spans="1:11" x14ac:dyDescent="0.2">
      <c r="A43" t="s">
        <v>289</v>
      </c>
      <c r="B43">
        <v>407</v>
      </c>
      <c r="C43">
        <v>2980</v>
      </c>
      <c r="D43" t="str">
        <f>VLOOKUP(B43,[1]ManipulationPage!$A$3:$D$541,4,FALSE)</f>
        <v>Baking</v>
      </c>
      <c r="G43" t="e">
        <f>VLOOKUP($F43,RecipeNotes!$A$2:$E$62,3,FALSE)</f>
        <v>#N/A</v>
      </c>
      <c r="H43" t="e">
        <f>VLOOKUP($F43,RecipeNotes!$A$2:$E$62,5,FALSE)</f>
        <v>#N/A</v>
      </c>
      <c r="I43" t="s">
        <v>290</v>
      </c>
      <c r="J43" t="s">
        <v>290</v>
      </c>
      <c r="K43" t="s">
        <v>290</v>
      </c>
    </row>
    <row r="44" spans="1:11" x14ac:dyDescent="0.2">
      <c r="A44" t="s">
        <v>305</v>
      </c>
      <c r="B44">
        <v>673</v>
      </c>
      <c r="C44">
        <v>3505</v>
      </c>
      <c r="D44" t="str">
        <f>VLOOKUP(B44,[1]ManipulationPage!$A$3:$D$541,4,FALSE)</f>
        <v>Baking</v>
      </c>
      <c r="G44" t="e">
        <f>VLOOKUP($F44,RecipeNotes!$A$2:$E$62,3,FALSE)</f>
        <v>#N/A</v>
      </c>
      <c r="H44" t="e">
        <f>VLOOKUP($F44,RecipeNotes!$A$2:$E$62,5,FALSE)</f>
        <v>#N/A</v>
      </c>
    </row>
    <row r="45" spans="1:11" x14ac:dyDescent="0.2">
      <c r="A45" t="s">
        <v>305</v>
      </c>
      <c r="B45">
        <v>684</v>
      </c>
      <c r="C45">
        <v>3527</v>
      </c>
      <c r="D45" t="str">
        <f>VLOOKUP(B45,[1]ManipulationPage!$A$3:$D$541,4,FALSE)</f>
        <v>Baking</v>
      </c>
      <c r="G45" t="e">
        <f>VLOOKUP($F45,RecipeNotes!$A$2:$E$62,3,FALSE)</f>
        <v>#N/A</v>
      </c>
      <c r="H45" t="e">
        <f>VLOOKUP($F45,RecipeNotes!$A$2:$E$62,5,FALSE)</f>
        <v>#N/A</v>
      </c>
    </row>
    <row r="46" spans="1:11" x14ac:dyDescent="0.2">
      <c r="A46" t="s">
        <v>306</v>
      </c>
      <c r="B46">
        <v>431</v>
      </c>
      <c r="C46">
        <v>3043</v>
      </c>
      <c r="D46" t="str">
        <f>VLOOKUP(B46,[1]ManipulationPage!$A$3:$D$541,4,FALSE)</f>
        <v>Baking</v>
      </c>
      <c r="G46" t="e">
        <f>VLOOKUP($F46,RecipeNotes!$A$2:$E$62,3,FALSE)</f>
        <v>#N/A</v>
      </c>
      <c r="H46" t="e">
        <f>VLOOKUP($F46,RecipeNotes!$A$2:$E$62,5,FALSE)</f>
        <v>#N/A</v>
      </c>
      <c r="I46" t="s">
        <v>307</v>
      </c>
      <c r="J46" t="s">
        <v>308</v>
      </c>
      <c r="K46" t="s">
        <v>307</v>
      </c>
    </row>
    <row r="47" spans="1:11" x14ac:dyDescent="0.2">
      <c r="A47" t="s">
        <v>309</v>
      </c>
      <c r="B47">
        <v>695</v>
      </c>
      <c r="C47">
        <v>3555</v>
      </c>
      <c r="D47" t="str">
        <f>VLOOKUP(B47,[1]ManipulationPage!$A$3:$D$541,4,FALSE)</f>
        <v>Baking</v>
      </c>
      <c r="G47" t="e">
        <f>VLOOKUP($F47,RecipeNotes!$A$2:$E$62,3,FALSE)</f>
        <v>#N/A</v>
      </c>
      <c r="H47" t="e">
        <f>VLOOKUP($F47,RecipeNotes!$A$2:$E$62,5,FALSE)</f>
        <v>#N/A</v>
      </c>
      <c r="I47" t="s">
        <v>310</v>
      </c>
    </row>
    <row r="48" spans="1:11" x14ac:dyDescent="0.2">
      <c r="A48" t="s">
        <v>353</v>
      </c>
      <c r="B48">
        <v>658</v>
      </c>
      <c r="C48">
        <v>3469</v>
      </c>
      <c r="D48" t="str">
        <f>VLOOKUP(B48,[1]ManipulationPage!$A$3:$D$541,4,FALSE)</f>
        <v>Baking</v>
      </c>
      <c r="F48" t="s">
        <v>597</v>
      </c>
      <c r="G48" t="str">
        <f>VLOOKUP($F48,RecipeNotes!$A$2:$E$62,3,FALSE)</f>
        <v>Shortcut recipe: Mix ingredients gently in a bowl. Heat a pan with oil or butter. Add in thin layers. 2 minutes per side.</v>
      </c>
      <c r="H48" t="str">
        <f>VLOOKUP($F48,RecipeNotes!$A$2:$E$62,5,FALSE)</f>
        <v>Shortcut opskrift: Bland ingredienserne nænsomt i en skål. Varn en pande med olie/smør og tilføj dejen i små lag. 2 minutter per side.</v>
      </c>
    </row>
    <row r="49" spans="1:11" x14ac:dyDescent="0.2">
      <c r="A49" t="s">
        <v>364</v>
      </c>
      <c r="B49">
        <v>453</v>
      </c>
      <c r="C49">
        <v>3074</v>
      </c>
      <c r="D49" t="str">
        <f>VLOOKUP(B49,[1]ManipulationPage!$A$3:$D$541,4,FALSE)</f>
        <v>Baking</v>
      </c>
      <c r="F49" t="s">
        <v>173</v>
      </c>
      <c r="G49" t="str">
        <f>VLOOKUP($F49,RecipeNotes!$A$2:$E$62,3,FALSE)</f>
        <v>Shortcut recipe: Fold the dry ingredients gently into the wet ingredients. Bake at 180°C until a toothpick inserted in the middle comes out clean (about 40 minutes).</v>
      </c>
      <c r="H49" t="str">
        <f>VLOOKUP($F49,RecipeNotes!$A$2:$E$62,5,FALSE)</f>
        <v>Shortcut opskrift: Fold de tørre ingredienser ind i de våde. Bag i ovnen indtil en tandstik kan komme ud af dem uden dej sidder fast (ca 40 minutter).</v>
      </c>
      <c r="I49" t="s">
        <v>365</v>
      </c>
      <c r="J49" t="s">
        <v>366</v>
      </c>
      <c r="K49" t="s">
        <v>365</v>
      </c>
    </row>
    <row r="50" spans="1:11" x14ac:dyDescent="0.2">
      <c r="A50" t="s">
        <v>380</v>
      </c>
      <c r="B50">
        <v>1157</v>
      </c>
      <c r="C50">
        <v>10277</v>
      </c>
      <c r="D50" t="str">
        <f>VLOOKUP(B50,[1]ManipulationPage!$A$3:$D$541,4,FALSE)</f>
        <v>Baking</v>
      </c>
      <c r="G50" t="e">
        <f>VLOOKUP($F50,RecipeNotes!$A$2:$E$62,3,FALSE)</f>
        <v>#N/A</v>
      </c>
      <c r="H50" t="e">
        <f>VLOOKUP($F50,RecipeNotes!$A$2:$E$62,5,FALSE)</f>
        <v>#N/A</v>
      </c>
      <c r="I50" t="s">
        <v>130</v>
      </c>
    </row>
    <row r="51" spans="1:11" x14ac:dyDescent="0.2">
      <c r="A51" t="s">
        <v>385</v>
      </c>
      <c r="B51">
        <v>417</v>
      </c>
      <c r="C51">
        <v>3005</v>
      </c>
      <c r="D51" t="str">
        <f>VLOOKUP(B51,[1]ManipulationPage!$A$3:$D$541,4,FALSE)</f>
        <v>Baking</v>
      </c>
      <c r="F51" t="s">
        <v>173</v>
      </c>
      <c r="G51" t="str">
        <f>VLOOKUP($F51,RecipeNotes!$A$2:$E$62,3,FALSE)</f>
        <v>Shortcut recipe: Fold the dry ingredients gently into the wet ingredients. Bake at 180°C until a toothpick inserted in the middle comes out clean (about 40 minutes).</v>
      </c>
      <c r="H51" t="str">
        <f>VLOOKUP($F51,RecipeNotes!$A$2:$E$62,5,FALSE)</f>
        <v>Shortcut opskrift: Fold de tørre ingredienser ind i de våde. Bag i ovnen indtil en tandstik kan komme ud af dem uden dej sidder fast (ca 40 minutter).</v>
      </c>
      <c r="I51" t="s">
        <v>386</v>
      </c>
      <c r="J51" t="s">
        <v>387</v>
      </c>
      <c r="K51" t="s">
        <v>386</v>
      </c>
    </row>
    <row r="52" spans="1:11" x14ac:dyDescent="0.2">
      <c r="A52" t="s">
        <v>401</v>
      </c>
      <c r="B52">
        <v>621</v>
      </c>
      <c r="D52" t="str">
        <f>VLOOKUP(B52,[1]ManipulationPage!$A$3:$D$541,4,FALSE)</f>
        <v>Baking</v>
      </c>
      <c r="F52" t="s">
        <v>1642</v>
      </c>
      <c r="G52" t="str">
        <f>VLOOKUP($F52,RecipeNotes!$A$2:$E$62,3,FALSE)</f>
        <v>Shortcut recipe: Drop spoonfuls of dough onto a baking sheet, evenly spaced out. Bake for 10 minutes at 160°C. The cookies will still be soft, but will firm up during cooling.</v>
      </c>
      <c r="H52" t="str">
        <f>VLOOKUP($F52,RecipeNotes!$A$2:$E$62,5,FALSE)</f>
        <v>Shortcut opskrift: Drop skefulde dej på et bagepapir fordelt ligeligt. Bag ved 160 grader i 10 mintter. De vil være bløde først men fastere, når de køler ned.</v>
      </c>
    </row>
    <row r="53" spans="1:11" x14ac:dyDescent="0.2">
      <c r="A53" t="s">
        <v>403</v>
      </c>
      <c r="B53">
        <v>1148</v>
      </c>
      <c r="C53">
        <v>10079</v>
      </c>
      <c r="D53" t="str">
        <f>VLOOKUP(B53,[1]ManipulationPage!$A$3:$D$541,4,FALSE)</f>
        <v>Baking</v>
      </c>
      <c r="F53" t="s">
        <v>125</v>
      </c>
      <c r="G53" t="str">
        <f>VLOOKUP($F53,RecipeNotes!$A$2:$E$62,3,FALSE)</f>
        <v>Shortcut recipe: knead in the wet ingredients into the dry until no flour pockets remain. Raise for 5 hours and bake for 1 hour (180 degrees).</v>
      </c>
      <c r="H53" t="str">
        <f>VLOOKUP($F53,RecipeNotes!$A$2:$E$62,5,FALSE)</f>
        <v>Shortcut opskrift: Ælt de våde ingredienser indi ide tørre, indtil der ikke er mel-lommer. Hæv i mindst 5 timer, bag i ovnen i en time (180 grader).</v>
      </c>
      <c r="I53" t="s">
        <v>404</v>
      </c>
      <c r="J53" t="s">
        <v>404</v>
      </c>
      <c r="K53" t="s">
        <v>404</v>
      </c>
    </row>
    <row r="54" spans="1:11" x14ac:dyDescent="0.2">
      <c r="A54" t="s">
        <v>405</v>
      </c>
      <c r="B54">
        <v>517</v>
      </c>
      <c r="C54">
        <v>3194</v>
      </c>
      <c r="D54" t="str">
        <f>VLOOKUP(B54,[1]ManipulationPage!$A$3:$D$541,4,FALSE)</f>
        <v>Baking</v>
      </c>
      <c r="F54" t="s">
        <v>125</v>
      </c>
      <c r="G54" t="str">
        <f>VLOOKUP($F54,RecipeNotes!$A$2:$E$62,3,FALSE)</f>
        <v>Shortcut recipe: knead in the wet ingredients into the dry until no flour pockets remain. Raise for 5 hours and bake for 1 hour (180 degrees).</v>
      </c>
      <c r="H54" t="str">
        <f>VLOOKUP($F54,RecipeNotes!$A$2:$E$62,5,FALSE)</f>
        <v>Shortcut opskrift: Ælt de våde ingredienser indi ide tørre, indtil der ikke er mel-lommer. Hæv i mindst 5 timer, bag i ovnen i en time (180 grader).</v>
      </c>
    </row>
    <row r="55" spans="1:11" x14ac:dyDescent="0.2">
      <c r="A55" t="s">
        <v>406</v>
      </c>
      <c r="B55">
        <v>419</v>
      </c>
      <c r="C55">
        <v>3009</v>
      </c>
      <c r="D55" t="str">
        <f>VLOOKUP(B55,[1]ManipulationPage!$A$3:$D$541,4,FALSE)</f>
        <v>Baking</v>
      </c>
      <c r="G55" t="e">
        <f>VLOOKUP($F55,RecipeNotes!$A$2:$E$62,3,FALSE)</f>
        <v>#N/A</v>
      </c>
      <c r="H55" t="e">
        <f>VLOOKUP($F55,RecipeNotes!$A$2:$E$62,5,FALSE)</f>
        <v>#N/A</v>
      </c>
      <c r="I55" t="s">
        <v>407</v>
      </c>
      <c r="J55" t="s">
        <v>408</v>
      </c>
      <c r="K55" t="s">
        <v>407</v>
      </c>
    </row>
    <row r="56" spans="1:11" x14ac:dyDescent="0.2">
      <c r="A56" t="s">
        <v>426</v>
      </c>
      <c r="B56">
        <v>683</v>
      </c>
      <c r="C56">
        <v>3525</v>
      </c>
      <c r="D56" t="str">
        <f>VLOOKUP(B56,[1]ManipulationPage!$A$3:$D$541,4,FALSE)</f>
        <v>Baking</v>
      </c>
      <c r="F56" t="s">
        <v>173</v>
      </c>
      <c r="G56" t="str">
        <f>VLOOKUP($F56,RecipeNotes!$A$2:$E$62,3,FALSE)</f>
        <v>Shortcut recipe: Fold the dry ingredients gently into the wet ingredients. Bake at 180°C until a toothpick inserted in the middle comes out clean (about 40 minutes).</v>
      </c>
      <c r="H56" t="str">
        <f>VLOOKUP($F56,RecipeNotes!$A$2:$E$62,5,FALSE)</f>
        <v>Shortcut opskrift: Fold de tørre ingredienser ind i de våde. Bag i ovnen indtil en tandstik kan komme ud af dem uden dej sidder fast (ca 40 minutter).</v>
      </c>
    </row>
    <row r="57" spans="1:11" x14ac:dyDescent="0.2">
      <c r="A57" t="s">
        <v>426</v>
      </c>
      <c r="B57">
        <v>672</v>
      </c>
      <c r="C57">
        <v>3503</v>
      </c>
      <c r="D57" t="str">
        <f>VLOOKUP(B57,[1]ManipulationPage!$A$3:$D$541,4,FALSE)</f>
        <v>Baking</v>
      </c>
      <c r="F57" t="s">
        <v>173</v>
      </c>
      <c r="G57" t="str">
        <f>VLOOKUP($F57,RecipeNotes!$A$2:$E$62,3,FALSE)</f>
        <v>Shortcut recipe: Fold the dry ingredients gently into the wet ingredients. Bake at 180°C until a toothpick inserted in the middle comes out clean (about 40 minutes).</v>
      </c>
      <c r="H57" t="str">
        <f>VLOOKUP($F57,RecipeNotes!$A$2:$E$62,5,FALSE)</f>
        <v>Shortcut opskrift: Fold de tørre ingredienser ind i de våde. Bag i ovnen indtil en tandstik kan komme ud af dem uden dej sidder fast (ca 40 minutter).</v>
      </c>
    </row>
    <row r="58" spans="1:11" x14ac:dyDescent="0.2">
      <c r="A58" t="s">
        <v>446</v>
      </c>
      <c r="B58">
        <v>110</v>
      </c>
      <c r="C58">
        <v>1547</v>
      </c>
      <c r="D58" t="str">
        <f>VLOOKUP(B58,[1]ManipulationPage!$A$3:$D$541,4,FALSE)</f>
        <v>Baking</v>
      </c>
      <c r="F58" t="s">
        <v>1635</v>
      </c>
      <c r="G58" t="str">
        <f>VLOOKUP($F58,RecipeNotes!$A$2:$E$62,3,FALSE)</f>
        <v>Shortcut recipe: Gently mix the wet ingredients into the dry. Bake in oven until a toothpick comes out clean when pricking them (about 30 minutes)</v>
      </c>
      <c r="H58" t="str">
        <f>VLOOKUP($F58,RecipeNotes!$A$2:$E$62,5,FALSE)</f>
        <v>Shortcut opskrift: Ælt de våde ingredienser indi i de tørre nænsomt. Bag i ovnen indtil en tandstik kan komme ud af dem uden dej sidder fast.</v>
      </c>
      <c r="I58" t="s">
        <v>276</v>
      </c>
      <c r="J58" t="s">
        <v>277</v>
      </c>
      <c r="K58" t="s">
        <v>276</v>
      </c>
    </row>
    <row r="59" spans="1:11" x14ac:dyDescent="0.2">
      <c r="A59" t="s">
        <v>449</v>
      </c>
      <c r="B59">
        <v>245</v>
      </c>
      <c r="C59">
        <v>2344</v>
      </c>
      <c r="D59" t="str">
        <f>VLOOKUP(B59,[1]ManipulationPage!$A$3:$D$541,4,FALSE)</f>
        <v>Baking</v>
      </c>
      <c r="G59" t="e">
        <f>VLOOKUP($F59,RecipeNotes!$A$2:$E$62,3,FALSE)</f>
        <v>#N/A</v>
      </c>
      <c r="H59" t="e">
        <f>VLOOKUP($F59,RecipeNotes!$A$2:$E$62,5,FALSE)</f>
        <v>#N/A</v>
      </c>
      <c r="I59" t="s">
        <v>450</v>
      </c>
      <c r="J59" t="s">
        <v>451</v>
      </c>
      <c r="K59" t="s">
        <v>450</v>
      </c>
    </row>
    <row r="60" spans="1:11" x14ac:dyDescent="0.2">
      <c r="A60" t="s">
        <v>463</v>
      </c>
      <c r="B60">
        <v>367</v>
      </c>
      <c r="C60">
        <v>2872</v>
      </c>
      <c r="D60" t="str">
        <f>VLOOKUP(B60,[1]ManipulationPage!$A$3:$D$541,4,FALSE)</f>
        <v>Baking</v>
      </c>
      <c r="F60" t="s">
        <v>1635</v>
      </c>
      <c r="G60" t="str">
        <f>VLOOKUP($F60,RecipeNotes!$A$2:$E$62,3,FALSE)</f>
        <v>Shortcut recipe: Gently mix the wet ingredients into the dry. Bake in oven until a toothpick comes out clean when pricking them (about 30 minutes)</v>
      </c>
      <c r="H60" t="str">
        <f>VLOOKUP($F60,RecipeNotes!$A$2:$E$62,5,FALSE)</f>
        <v>Shortcut opskrift: Ælt de våde ingredienser indi i de tørre nænsomt. Bag i ovnen indtil en tandstik kan komme ud af dem uden dej sidder fast.</v>
      </c>
      <c r="I60" t="s">
        <v>464</v>
      </c>
      <c r="J60" t="s">
        <v>465</v>
      </c>
      <c r="K60" t="s">
        <v>464</v>
      </c>
    </row>
    <row r="61" spans="1:11" x14ac:dyDescent="0.2">
      <c r="A61" t="s">
        <v>480</v>
      </c>
      <c r="B61">
        <v>689</v>
      </c>
      <c r="C61">
        <v>3539</v>
      </c>
      <c r="D61" t="str">
        <f>VLOOKUP(B61,[1]ManipulationPage!$A$3:$D$541,4,FALSE)</f>
        <v>Baking</v>
      </c>
      <c r="G61" t="e">
        <f>VLOOKUP($F61,RecipeNotes!$A$2:$E$62,3,FALSE)</f>
        <v>#N/A</v>
      </c>
      <c r="H61" t="e">
        <f>VLOOKUP($F61,RecipeNotes!$A$2:$E$62,5,FALSE)</f>
        <v>#N/A</v>
      </c>
    </row>
    <row r="62" spans="1:11" x14ac:dyDescent="0.2">
      <c r="A62" t="s">
        <v>493</v>
      </c>
      <c r="B62">
        <v>745</v>
      </c>
      <c r="C62">
        <v>3662</v>
      </c>
      <c r="D62" t="str">
        <f>VLOOKUP(B62,[1]ManipulationPage!$A$3:$D$541,4,FALSE)</f>
        <v>Baking</v>
      </c>
      <c r="F62" t="s">
        <v>173</v>
      </c>
      <c r="G62" t="str">
        <f>VLOOKUP($F62,RecipeNotes!$A$2:$E$62,3,FALSE)</f>
        <v>Shortcut recipe: Fold the dry ingredients gently into the wet ingredients. Bake at 180°C until a toothpick inserted in the middle comes out clean (about 40 minutes).</v>
      </c>
      <c r="H62" t="str">
        <f>VLOOKUP($F62,RecipeNotes!$A$2:$E$62,5,FALSE)</f>
        <v>Shortcut opskrift: Fold de tørre ingredienser ind i de våde. Bag i ovnen indtil en tandstik kan komme ud af dem uden dej sidder fast (ca 40 minutter).</v>
      </c>
    </row>
    <row r="63" spans="1:11" x14ac:dyDescent="0.2">
      <c r="A63" t="s">
        <v>495</v>
      </c>
      <c r="B63">
        <v>441</v>
      </c>
      <c r="C63">
        <v>3056</v>
      </c>
      <c r="D63" t="str">
        <f>VLOOKUP(B63,[1]ManipulationPage!$A$3:$D$541,4,FALSE)</f>
        <v>Baking</v>
      </c>
      <c r="F63" t="s">
        <v>1641</v>
      </c>
      <c r="G63" t="str">
        <f>VLOOKUP($F63,RecipeNotes!$A$2:$E$62,3,FALSE)</f>
        <v>Shortcut recipe: Mash until reaches a cookie dough-like consistency. Add a little more wet or dry ingredients if needed to get the right texture. Form into balls and enjoy!</v>
      </c>
      <c r="H63" t="str">
        <f>VLOOKUP($F63,RecipeNotes!$A$2:$E$62,5,FALSE)</f>
        <v>Shortcut opskrift: Ælt indtil konsistensen minder om kagedej. Form indtil kugler.</v>
      </c>
      <c r="I63" t="s">
        <v>496</v>
      </c>
      <c r="J63" t="s">
        <v>497</v>
      </c>
      <c r="K63" t="s">
        <v>496</v>
      </c>
    </row>
    <row r="64" spans="1:11" x14ac:dyDescent="0.2">
      <c r="A64" t="s">
        <v>503</v>
      </c>
      <c r="B64">
        <v>718</v>
      </c>
      <c r="C64">
        <v>3606</v>
      </c>
      <c r="D64" t="str">
        <f>VLOOKUP(B64,[1]ManipulationPage!$A$3:$D$541,4,FALSE)</f>
        <v>Baking</v>
      </c>
      <c r="F64" t="s">
        <v>173</v>
      </c>
      <c r="G64" t="str">
        <f>VLOOKUP($F64,RecipeNotes!$A$2:$E$62,3,FALSE)</f>
        <v>Shortcut recipe: Fold the dry ingredients gently into the wet ingredients. Bake at 180°C until a toothpick inserted in the middle comes out clean (about 40 minutes).</v>
      </c>
      <c r="H64" t="str">
        <f>VLOOKUP($F64,RecipeNotes!$A$2:$E$62,5,FALSE)</f>
        <v>Shortcut opskrift: Fold de tørre ingredienser ind i de våde. Bag i ovnen indtil en tandstik kan komme ud af dem uden dej sidder fast (ca 40 minutter).</v>
      </c>
    </row>
    <row r="65" spans="1:11" x14ac:dyDescent="0.2">
      <c r="A65" t="s">
        <v>547</v>
      </c>
      <c r="B65">
        <v>813</v>
      </c>
      <c r="C65">
        <v>3802</v>
      </c>
      <c r="D65" t="str">
        <f>VLOOKUP(B65,[1]ManipulationPage!$A$3:$D$541,4,FALSE)</f>
        <v>Baking</v>
      </c>
      <c r="F65" t="s">
        <v>1635</v>
      </c>
      <c r="G65" t="str">
        <f>VLOOKUP($F65,RecipeNotes!$A$2:$E$62,3,FALSE)</f>
        <v>Shortcut recipe: Gently mix the wet ingredients into the dry. Bake in oven until a toothpick comes out clean when pricking them (about 30 minutes)</v>
      </c>
      <c r="H65" t="str">
        <f>VLOOKUP($F65,RecipeNotes!$A$2:$E$62,5,FALSE)</f>
        <v>Shortcut opskrift: Ælt de våde ingredienser indi i de tørre nænsomt. Bag i ovnen indtil en tandstik kan komme ud af dem uden dej sidder fast.</v>
      </c>
      <c r="I65" t="s">
        <v>161</v>
      </c>
      <c r="J65" t="s">
        <v>161</v>
      </c>
      <c r="K65" t="s">
        <v>161</v>
      </c>
    </row>
    <row r="66" spans="1:11" x14ac:dyDescent="0.2">
      <c r="A66" t="s">
        <v>560</v>
      </c>
      <c r="B66">
        <v>575</v>
      </c>
      <c r="D66" t="str">
        <f>VLOOKUP(B66,[1]ManipulationPage!$A$3:$D$541,4,FALSE)</f>
        <v>Baking</v>
      </c>
      <c r="G66" t="e">
        <f>VLOOKUP($F66,RecipeNotes!$A$2:$E$62,3,FALSE)</f>
        <v>#N/A</v>
      </c>
      <c r="H66" t="e">
        <f>VLOOKUP($F66,RecipeNotes!$A$2:$E$62,5,FALSE)</f>
        <v>#N/A</v>
      </c>
    </row>
    <row r="67" spans="1:11" x14ac:dyDescent="0.2">
      <c r="A67" t="s">
        <v>563</v>
      </c>
      <c r="B67">
        <v>671</v>
      </c>
      <c r="C67">
        <v>3501</v>
      </c>
      <c r="D67" t="str">
        <f>VLOOKUP(B67,[1]ManipulationPage!$A$3:$D$541,4,FALSE)</f>
        <v>Baking</v>
      </c>
      <c r="F67" t="s">
        <v>210</v>
      </c>
      <c r="G67" t="str">
        <f>VLOOKUP($F67,RecipeNotes!$A$2:$E$62,3,FALSE)</f>
        <v>Shortcut recipe: Bake crust for 10 minutes, then add 'cheese' in the springform, and bake for another 45 minutes. Put in fridge overnight.</v>
      </c>
      <c r="H67" t="str">
        <f>VLOOKUP($F67,RecipeNotes!$A$2:$E$62,5,FALSE)</f>
        <v>Shortcut opskrift: Bag dejen i 10 minutter, tilføj derefter ost i springformen og bag i yderligere 45 mintter. Put i køleren over natten.</v>
      </c>
    </row>
    <row r="68" spans="1:11" x14ac:dyDescent="0.2">
      <c r="A68" t="s">
        <v>563</v>
      </c>
      <c r="B68">
        <v>681</v>
      </c>
      <c r="C68">
        <v>3521</v>
      </c>
      <c r="D68" t="str">
        <f>VLOOKUP(B68,[1]ManipulationPage!$A$3:$D$541,4,FALSE)</f>
        <v>Baking</v>
      </c>
      <c r="F68" t="s">
        <v>210</v>
      </c>
      <c r="G68" t="str">
        <f>VLOOKUP($F68,RecipeNotes!$A$2:$E$62,3,FALSE)</f>
        <v>Shortcut recipe: Bake crust for 10 minutes, then add 'cheese' in the springform, and bake for another 45 minutes. Put in fridge overnight.</v>
      </c>
      <c r="H68" t="str">
        <f>VLOOKUP($F68,RecipeNotes!$A$2:$E$62,5,FALSE)</f>
        <v>Shortcut opskrift: Bag dejen i 10 minutter, tilføj derefter ost i springformen og bag i yderligere 45 mintter. Put i køleren over natten.</v>
      </c>
    </row>
    <row r="69" spans="1:11" x14ac:dyDescent="0.2">
      <c r="A69" t="s">
        <v>564</v>
      </c>
      <c r="B69">
        <v>401</v>
      </c>
      <c r="C69">
        <v>2964</v>
      </c>
      <c r="D69" t="str">
        <f>VLOOKUP(B69,[1]ManipulationPage!$A$3:$D$541,4,FALSE)</f>
        <v>Baking</v>
      </c>
      <c r="F69" t="s">
        <v>210</v>
      </c>
      <c r="G69" t="str">
        <f>VLOOKUP($F69,RecipeNotes!$A$2:$E$62,3,FALSE)</f>
        <v>Shortcut recipe: Bake crust for 10 minutes, then add 'cheese' in the springform, and bake for another 45 minutes. Put in fridge overnight.</v>
      </c>
      <c r="H69" t="str">
        <f>VLOOKUP($F69,RecipeNotes!$A$2:$E$62,5,FALSE)</f>
        <v>Shortcut opskrift: Bag dejen i 10 minutter, tilføj derefter ost i springformen og bag i yderligere 45 mintter. Put i køleren over natten.</v>
      </c>
      <c r="I69" t="s">
        <v>264</v>
      </c>
      <c r="J69" t="s">
        <v>265</v>
      </c>
      <c r="K69" t="s">
        <v>264</v>
      </c>
    </row>
    <row r="70" spans="1:11" x14ac:dyDescent="0.2">
      <c r="A70" t="s">
        <v>565</v>
      </c>
      <c r="B70">
        <v>373</v>
      </c>
      <c r="C70">
        <v>2889</v>
      </c>
      <c r="D70" t="str">
        <f>VLOOKUP(B70,[1]ManipulationPage!$A$3:$D$541,4,FALSE)</f>
        <v>Baking</v>
      </c>
      <c r="F70" t="s">
        <v>1643</v>
      </c>
      <c r="G70" t="str">
        <f>VLOOKUP($F70,RecipeNotes!$A$2:$E$62,3,FALSE)</f>
        <v>Shortcut recipe: Gently mix the wet ingredients into the dry. Bake in oven until a toothpick comes out clean when pricking them (about 30 minutes)</v>
      </c>
      <c r="H70" t="str">
        <f>VLOOKUP($F70,RecipeNotes!$A$2:$E$62,5,FALSE)</f>
        <v>Shortcut opskrift: Ælt de våde ingredienser indi i de tørre nænsomt. Bag i ovnen indtil en tandstik kan komme ud af dem uden dej sidder fast.</v>
      </c>
      <c r="I70" t="s">
        <v>161</v>
      </c>
      <c r="J70" t="s">
        <v>161</v>
      </c>
      <c r="K70" t="s">
        <v>161</v>
      </c>
    </row>
    <row r="71" spans="1:11" x14ac:dyDescent="0.2">
      <c r="A71" t="s">
        <v>571</v>
      </c>
      <c r="B71">
        <v>397</v>
      </c>
      <c r="C71">
        <v>2951</v>
      </c>
      <c r="D71" t="str">
        <f>VLOOKUP(B71,[1]ManipulationPage!$A$3:$D$541,4,FALSE)</f>
        <v>Baking</v>
      </c>
      <c r="F71" t="s">
        <v>1642</v>
      </c>
      <c r="G71" t="str">
        <f>VLOOKUP($F71,RecipeNotes!$A$2:$E$62,3,FALSE)</f>
        <v>Shortcut recipe: Drop spoonfuls of dough onto a baking sheet, evenly spaced out. Bake for 10 minutes at 160°C. The cookies will still be soft, but will firm up during cooling.</v>
      </c>
      <c r="H71" t="str">
        <f>VLOOKUP($F71,RecipeNotes!$A$2:$E$62,5,FALSE)</f>
        <v>Shortcut opskrift: Drop skefulde dej på et bagepapir fordelt ligeligt. Bag ved 160 grader i 10 mintter. De vil være bløde først men fastere, når de køler ned.</v>
      </c>
      <c r="I71" t="s">
        <v>267</v>
      </c>
      <c r="J71" t="s">
        <v>268</v>
      </c>
      <c r="K71" t="s">
        <v>267</v>
      </c>
    </row>
    <row r="72" spans="1:11" x14ac:dyDescent="0.2">
      <c r="A72" t="s">
        <v>572</v>
      </c>
      <c r="B72">
        <v>465</v>
      </c>
      <c r="C72">
        <v>3096</v>
      </c>
      <c r="D72" t="str">
        <f>VLOOKUP(B72,[1]ManipulationPage!$A$3:$D$541,4,FALSE)</f>
        <v>Baking</v>
      </c>
      <c r="F72" t="s">
        <v>1643</v>
      </c>
      <c r="G72" t="str">
        <f>VLOOKUP($F72,RecipeNotes!$A$2:$E$62,3,FALSE)</f>
        <v>Shortcut recipe: Gently mix the wet ingredients into the dry. Bake in oven until a toothpick comes out clean when pricking them (about 30 minutes)</v>
      </c>
      <c r="H72" t="str">
        <f>VLOOKUP($F72,RecipeNotes!$A$2:$E$62,5,FALSE)</f>
        <v>Shortcut opskrift: Ælt de våde ingredienser indi i de tørre nænsomt. Bag i ovnen indtil en tandstik kan komme ud af dem uden dej sidder fast.</v>
      </c>
      <c r="I72" t="s">
        <v>573</v>
      </c>
      <c r="J72" t="s">
        <v>574</v>
      </c>
      <c r="K72" t="s">
        <v>573</v>
      </c>
    </row>
    <row r="73" spans="1:11" x14ac:dyDescent="0.2">
      <c r="A73" t="s">
        <v>575</v>
      </c>
      <c r="B73">
        <v>379</v>
      </c>
      <c r="C73">
        <v>2908</v>
      </c>
      <c r="D73" t="str">
        <f>VLOOKUP(B73,[1]ManipulationPage!$A$3:$D$541,4,FALSE)</f>
        <v>Baking</v>
      </c>
      <c r="F73" t="s">
        <v>1635</v>
      </c>
      <c r="G73" t="str">
        <f>VLOOKUP($F73,RecipeNotes!$A$2:$E$62,3,FALSE)</f>
        <v>Shortcut recipe: Gently mix the wet ingredients into the dry. Bake in oven until a toothpick comes out clean when pricking them (about 30 minutes)</v>
      </c>
      <c r="H73" t="str">
        <f>VLOOKUP($F73,RecipeNotes!$A$2:$E$62,5,FALSE)</f>
        <v>Shortcut opskrift: Ælt de våde ingredienser indi i de tørre nænsomt. Bag i ovnen indtil en tandstik kan komme ud af dem uden dej sidder fast.</v>
      </c>
      <c r="I73" t="s">
        <v>161</v>
      </c>
      <c r="J73" t="s">
        <v>161</v>
      </c>
      <c r="K73" t="s">
        <v>161</v>
      </c>
    </row>
    <row r="74" spans="1:11" x14ac:dyDescent="0.2">
      <c r="A74" t="s">
        <v>591</v>
      </c>
      <c r="B74">
        <v>73</v>
      </c>
      <c r="C74">
        <v>1367</v>
      </c>
      <c r="D74" t="str">
        <f>VLOOKUP(B74,[1]ManipulationPage!$A$3:$D$541,4,FALSE)</f>
        <v>Baking</v>
      </c>
      <c r="F74" t="s">
        <v>1651</v>
      </c>
      <c r="G74" t="str">
        <f>VLOOKUP($F74,RecipeNotes!$A$2:$E$62,3,FALSE)</f>
        <v>Shortcut recipe: Leave oats in liquids over night in the fridge (at least 3 hours). You can still gently heat it next day if you prefer it warm.</v>
      </c>
      <c r="H74" t="str">
        <f>VLOOKUP($F74,RecipeNotes!$A$2:$E$62,5,FALSE)</f>
        <v>Shortcut opskrift: Læg havren i blød over natten i køleren. Du kan stadig varme grøden næste morgen, hvis du foretrækker den varm.</v>
      </c>
      <c r="I74" t="s">
        <v>592</v>
      </c>
      <c r="J74" t="s">
        <v>593</v>
      </c>
      <c r="K74" t="s">
        <v>594</v>
      </c>
    </row>
    <row r="75" spans="1:11" x14ac:dyDescent="0.2">
      <c r="A75" t="s">
        <v>595</v>
      </c>
      <c r="B75">
        <v>907</v>
      </c>
      <c r="C75">
        <v>4025</v>
      </c>
      <c r="D75" t="str">
        <f>VLOOKUP(B75,[1]ManipulationPage!$A$3:$D$541,4,FALSE)</f>
        <v>Baking</v>
      </c>
      <c r="F75" t="s">
        <v>1651</v>
      </c>
      <c r="G75" t="str">
        <f>VLOOKUP($F75,RecipeNotes!$A$2:$E$62,3,FALSE)</f>
        <v>Shortcut recipe: Leave oats in liquids over night in the fridge (at least 3 hours). You can still gently heat it next day if you prefer it warm.</v>
      </c>
      <c r="H75" t="str">
        <f>VLOOKUP($F75,RecipeNotes!$A$2:$E$62,5,FALSE)</f>
        <v>Shortcut opskrift: Læg havren i blød over natten i køleren. Du kan stadig varme grøden næste morgen, hvis du foretrækker den varm.</v>
      </c>
    </row>
    <row r="76" spans="1:11" x14ac:dyDescent="0.2">
      <c r="A76" t="s">
        <v>609</v>
      </c>
      <c r="B76">
        <v>435</v>
      </c>
      <c r="C76">
        <v>3049</v>
      </c>
      <c r="D76" t="str">
        <f>VLOOKUP(B76,[1]ManipulationPage!$A$3:$D$541,4,FALSE)</f>
        <v>Baking</v>
      </c>
      <c r="G76" t="e">
        <f>VLOOKUP($F76,RecipeNotes!$A$2:$E$62,3,FALSE)</f>
        <v>#N/A</v>
      </c>
      <c r="H76" t="e">
        <f>VLOOKUP($F76,RecipeNotes!$A$2:$E$62,5,FALSE)</f>
        <v>#N/A</v>
      </c>
      <c r="I76" t="s">
        <v>287</v>
      </c>
      <c r="J76" t="s">
        <v>288</v>
      </c>
      <c r="K76" t="s">
        <v>287</v>
      </c>
    </row>
    <row r="77" spans="1:11" x14ac:dyDescent="0.2">
      <c r="A77" t="s">
        <v>611</v>
      </c>
      <c r="B77">
        <v>479</v>
      </c>
      <c r="C77">
        <v>3122</v>
      </c>
      <c r="D77" t="str">
        <f>VLOOKUP(B77,[1]ManipulationPage!$A$3:$D$541,4,FALSE)</f>
        <v>Baking</v>
      </c>
      <c r="G77" t="e">
        <f>VLOOKUP($F77,RecipeNotes!$A$2:$E$62,3,FALSE)</f>
        <v>#N/A</v>
      </c>
      <c r="H77" t="e">
        <f>VLOOKUP($F77,RecipeNotes!$A$2:$E$62,5,FALSE)</f>
        <v>#N/A</v>
      </c>
      <c r="I77" t="s">
        <v>612</v>
      </c>
      <c r="J77" t="s">
        <v>613</v>
      </c>
      <c r="K77" t="s">
        <v>612</v>
      </c>
    </row>
    <row r="78" spans="1:11" x14ac:dyDescent="0.2">
      <c r="A78" t="s">
        <v>647</v>
      </c>
      <c r="B78">
        <v>449</v>
      </c>
      <c r="C78">
        <v>3068</v>
      </c>
      <c r="D78" t="str">
        <f>VLOOKUP(B78,[1]ManipulationPage!$A$3:$D$541,4,FALSE)</f>
        <v>Baking</v>
      </c>
      <c r="F78" t="s">
        <v>173</v>
      </c>
      <c r="G78" t="str">
        <f>VLOOKUP($F78,RecipeNotes!$A$2:$E$62,3,FALSE)</f>
        <v>Shortcut recipe: Fold the dry ingredients gently into the wet ingredients. Bake at 180°C until a toothpick inserted in the middle comes out clean (about 40 minutes).</v>
      </c>
      <c r="H78" t="str">
        <f>VLOOKUP($F78,RecipeNotes!$A$2:$E$62,5,FALSE)</f>
        <v>Shortcut opskrift: Fold de tørre ingredienser ind i de våde. Bag i ovnen indtil en tandstik kan komme ud af dem uden dej sidder fast (ca 40 minutter).</v>
      </c>
      <c r="I78" t="s">
        <v>38</v>
      </c>
      <c r="J78" t="s">
        <v>39</v>
      </c>
      <c r="K78" t="s">
        <v>38</v>
      </c>
    </row>
    <row r="79" spans="1:11" x14ac:dyDescent="0.2">
      <c r="A79" t="s">
        <v>654</v>
      </c>
      <c r="B79">
        <v>511</v>
      </c>
      <c r="C79">
        <v>3182</v>
      </c>
      <c r="D79" t="str">
        <f>VLOOKUP(B79,[1]ManipulationPage!$A$3:$D$541,4,FALSE)</f>
        <v>Baking</v>
      </c>
      <c r="G79" t="e">
        <f>VLOOKUP($F79,RecipeNotes!$A$2:$E$62,3,FALSE)</f>
        <v>#N/A</v>
      </c>
      <c r="H79" t="e">
        <f>VLOOKUP($F79,RecipeNotes!$A$2:$E$62,5,FALSE)</f>
        <v>#N/A</v>
      </c>
      <c r="I79" t="s">
        <v>655</v>
      </c>
      <c r="J79" t="s">
        <v>655</v>
      </c>
      <c r="K79" t="s">
        <v>655</v>
      </c>
    </row>
    <row r="80" spans="1:11" x14ac:dyDescent="0.2">
      <c r="A80" t="s">
        <v>669</v>
      </c>
      <c r="B80">
        <v>713</v>
      </c>
      <c r="C80">
        <v>3598</v>
      </c>
      <c r="D80" t="str">
        <f>VLOOKUP(B80,[1]ManipulationPage!$A$3:$D$541,4,FALSE)</f>
        <v>Baking</v>
      </c>
      <c r="F80" t="s">
        <v>173</v>
      </c>
      <c r="G80" t="str">
        <f>VLOOKUP($F80,RecipeNotes!$A$2:$E$62,3,FALSE)</f>
        <v>Shortcut recipe: Fold the dry ingredients gently into the wet ingredients. Bake at 180°C until a toothpick inserted in the middle comes out clean (about 40 minutes).</v>
      </c>
      <c r="H80" t="str">
        <f>VLOOKUP($F80,RecipeNotes!$A$2:$E$62,5,FALSE)</f>
        <v>Shortcut opskrift: Fold de tørre ingredienser ind i de våde. Bag i ovnen indtil en tandstik kan komme ud af dem uden dej sidder fast (ca 40 minutter).</v>
      </c>
      <c r="I80" t="s">
        <v>670</v>
      </c>
    </row>
    <row r="81" spans="1:11" x14ac:dyDescent="0.2">
      <c r="A81" t="s">
        <v>671</v>
      </c>
      <c r="B81">
        <v>1023</v>
      </c>
      <c r="C81">
        <v>6298</v>
      </c>
      <c r="D81" t="str">
        <f>VLOOKUP(B81,[1]ManipulationPage!$A$3:$D$541,4,FALSE)</f>
        <v>Baking</v>
      </c>
      <c r="G81" t="e">
        <f>VLOOKUP($F81,RecipeNotes!$A$2:$E$62,3,FALSE)</f>
        <v>#N/A</v>
      </c>
      <c r="H81" t="e">
        <f>VLOOKUP($F81,RecipeNotes!$A$2:$E$62,5,FALSE)</f>
        <v>#N/A</v>
      </c>
    </row>
    <row r="82" spans="1:11" x14ac:dyDescent="0.2">
      <c r="A82" t="s">
        <v>672</v>
      </c>
      <c r="B82">
        <v>413</v>
      </c>
      <c r="C82">
        <v>2995</v>
      </c>
      <c r="D82" t="str">
        <f>VLOOKUP(B82,[1]ManipulationPage!$A$3:$D$541,4,FALSE)</f>
        <v>Baking</v>
      </c>
      <c r="F82" t="s">
        <v>173</v>
      </c>
      <c r="G82" t="str">
        <f>VLOOKUP($F82,RecipeNotes!$A$2:$E$62,3,FALSE)</f>
        <v>Shortcut recipe: Fold the dry ingredients gently into the wet ingredients. Bake at 180°C until a toothpick inserted in the middle comes out clean (about 40 minutes).</v>
      </c>
      <c r="H82" t="str">
        <f>VLOOKUP($F82,RecipeNotes!$A$2:$E$62,5,FALSE)</f>
        <v>Shortcut opskrift: Fold de tørre ingredienser ind i de våde. Bag i ovnen indtil en tandstik kan komme ud af dem uden dej sidder fast (ca 40 minutter).</v>
      </c>
      <c r="I82" t="s">
        <v>673</v>
      </c>
      <c r="J82" t="s">
        <v>674</v>
      </c>
      <c r="K82" t="s">
        <v>673</v>
      </c>
    </row>
    <row r="83" spans="1:11" x14ac:dyDescent="0.2">
      <c r="A83" t="s">
        <v>675</v>
      </c>
      <c r="B83">
        <v>1028</v>
      </c>
      <c r="C83">
        <v>6308</v>
      </c>
      <c r="D83" t="str">
        <f>VLOOKUP(B83,[1]ManipulationPage!$A$3:$D$541,4,FALSE)</f>
        <v>Baking</v>
      </c>
      <c r="G83" t="e">
        <f>VLOOKUP($F83,RecipeNotes!$A$2:$E$62,3,FALSE)</f>
        <v>#N/A</v>
      </c>
      <c r="H83" t="e">
        <f>VLOOKUP($F83,RecipeNotes!$A$2:$E$62,5,FALSE)</f>
        <v>#N/A</v>
      </c>
    </row>
    <row r="84" spans="1:11" x14ac:dyDescent="0.2">
      <c r="A84" t="s">
        <v>676</v>
      </c>
      <c r="B84">
        <v>1027</v>
      </c>
      <c r="C84">
        <v>6306</v>
      </c>
      <c r="D84" t="str">
        <f>VLOOKUP(B84,[1]ManipulationPage!$A$3:$D$541,4,FALSE)</f>
        <v>Baking</v>
      </c>
      <c r="G84" t="e">
        <f>VLOOKUP($F84,RecipeNotes!$A$2:$E$62,3,FALSE)</f>
        <v>#N/A</v>
      </c>
      <c r="H84" t="e">
        <f>VLOOKUP($F84,RecipeNotes!$A$2:$E$62,5,FALSE)</f>
        <v>#N/A</v>
      </c>
    </row>
    <row r="85" spans="1:11" x14ac:dyDescent="0.2">
      <c r="A85" t="s">
        <v>677</v>
      </c>
      <c r="B85">
        <v>871</v>
      </c>
      <c r="C85">
        <v>3928</v>
      </c>
      <c r="D85" t="str">
        <f>VLOOKUP(B85,[1]ManipulationPage!$A$3:$D$541,4,FALSE)</f>
        <v>Baking</v>
      </c>
      <c r="G85" t="e">
        <f>VLOOKUP($F85,RecipeNotes!$A$2:$E$62,3,FALSE)</f>
        <v>#N/A</v>
      </c>
      <c r="H85" t="e">
        <f>VLOOKUP($F85,RecipeNotes!$A$2:$E$62,5,FALSE)</f>
        <v>#N/A</v>
      </c>
    </row>
    <row r="86" spans="1:11" x14ac:dyDescent="0.2">
      <c r="A86" t="s">
        <v>680</v>
      </c>
      <c r="B86">
        <v>711</v>
      </c>
      <c r="C86">
        <v>3588</v>
      </c>
      <c r="D86" t="str">
        <f>VLOOKUP(B86,[1]ManipulationPage!$A$3:$D$541,4,FALSE)</f>
        <v>Baking</v>
      </c>
      <c r="G86" t="e">
        <f>VLOOKUP($F86,RecipeNotes!$A$2:$E$62,3,FALSE)</f>
        <v>#N/A</v>
      </c>
      <c r="H86" t="e">
        <f>VLOOKUP($F86,RecipeNotes!$A$2:$E$62,5,FALSE)</f>
        <v>#N/A</v>
      </c>
      <c r="I86" t="s">
        <v>681</v>
      </c>
    </row>
    <row r="87" spans="1:11" x14ac:dyDescent="0.2">
      <c r="A87" t="s">
        <v>692</v>
      </c>
      <c r="B87">
        <v>38</v>
      </c>
      <c r="C87">
        <v>1181</v>
      </c>
      <c r="D87" t="str">
        <f>VLOOKUP(B87,[1]ManipulationPage!$A$3:$D$541,4,FALSE)</f>
        <v>Baking</v>
      </c>
      <c r="F87" t="s">
        <v>1635</v>
      </c>
      <c r="G87" t="str">
        <f>VLOOKUP($F87,RecipeNotes!$A$2:$E$62,3,FALSE)</f>
        <v>Shortcut recipe: Gently mix the wet ingredients into the dry. Bake in oven until a toothpick comes out clean when pricking them (about 30 minutes)</v>
      </c>
      <c r="H87" t="str">
        <f>VLOOKUP($F87,RecipeNotes!$A$2:$E$62,5,FALSE)</f>
        <v>Shortcut opskrift: Ælt de våde ingredienser indi i de tørre nænsomt. Bag i ovnen indtil en tandstik kan komme ud af dem uden dej sidder fast.</v>
      </c>
      <c r="I87" t="s">
        <v>276</v>
      </c>
      <c r="J87" t="s">
        <v>277</v>
      </c>
      <c r="K87" t="s">
        <v>276</v>
      </c>
    </row>
    <row r="88" spans="1:11" x14ac:dyDescent="0.2">
      <c r="A88" t="s">
        <v>695</v>
      </c>
      <c r="B88">
        <v>579</v>
      </c>
      <c r="D88" t="str">
        <f>VLOOKUP(B88,[1]ManipulationPage!$A$3:$D$541,4,FALSE)</f>
        <v>Baking</v>
      </c>
      <c r="F88" t="s">
        <v>125</v>
      </c>
      <c r="G88" t="str">
        <f>VLOOKUP($F88,RecipeNotes!$A$2:$E$62,3,FALSE)</f>
        <v>Shortcut recipe: knead in the wet ingredients into the dry until no flour pockets remain. Raise for 5 hours and bake for 1 hour (180 degrees).</v>
      </c>
      <c r="H88" t="str">
        <f>VLOOKUP($F88,RecipeNotes!$A$2:$E$62,5,FALSE)</f>
        <v>Shortcut opskrift: Ælt de våde ingredienser indi ide tørre, indtil der ikke er mel-lommer. Hæv i mindst 5 timer, bag i ovnen i en time (180 grader).</v>
      </c>
    </row>
    <row r="89" spans="1:11" x14ac:dyDescent="0.2">
      <c r="A89" t="s">
        <v>695</v>
      </c>
      <c r="B89">
        <v>515</v>
      </c>
      <c r="C89">
        <v>3190</v>
      </c>
      <c r="D89" t="str">
        <f>VLOOKUP(B89,[1]ManipulationPage!$A$3:$D$541,4,FALSE)</f>
        <v>Baking</v>
      </c>
      <c r="F89" t="s">
        <v>125</v>
      </c>
      <c r="G89" t="str">
        <f>VLOOKUP($F89,RecipeNotes!$A$2:$E$62,3,FALSE)</f>
        <v>Shortcut recipe: knead in the wet ingredients into the dry until no flour pockets remain. Raise for 5 hours and bake for 1 hour (180 degrees).</v>
      </c>
      <c r="H89" t="str">
        <f>VLOOKUP($F89,RecipeNotes!$A$2:$E$62,5,FALSE)</f>
        <v>Shortcut opskrift: Ælt de våde ingredienser indi ide tørre, indtil der ikke er mel-lommer. Hæv i mindst 5 timer, bag i ovnen i en time (180 grader).</v>
      </c>
      <c r="I89" t="s">
        <v>696</v>
      </c>
      <c r="J89" t="s">
        <v>696</v>
      </c>
      <c r="K89" t="s">
        <v>696</v>
      </c>
    </row>
    <row r="90" spans="1:11" x14ac:dyDescent="0.2">
      <c r="A90" t="s">
        <v>697</v>
      </c>
      <c r="B90">
        <v>409</v>
      </c>
      <c r="C90">
        <v>2988</v>
      </c>
      <c r="D90" t="str">
        <f>VLOOKUP(B90,[1]ManipulationPage!$A$3:$D$541,4,FALSE)</f>
        <v>Baking</v>
      </c>
      <c r="G90" t="e">
        <f>VLOOKUP($F90,RecipeNotes!$A$2:$E$62,3,FALSE)</f>
        <v>#N/A</v>
      </c>
      <c r="H90" t="e">
        <f>VLOOKUP($F90,RecipeNotes!$A$2:$E$62,5,FALSE)</f>
        <v>#N/A</v>
      </c>
      <c r="I90" t="s">
        <v>407</v>
      </c>
      <c r="J90" t="s">
        <v>408</v>
      </c>
      <c r="K90" t="s">
        <v>407</v>
      </c>
    </row>
    <row r="91" spans="1:11" x14ac:dyDescent="0.2">
      <c r="A91" t="s">
        <v>705</v>
      </c>
      <c r="B91">
        <v>423</v>
      </c>
      <c r="C91">
        <v>3018</v>
      </c>
      <c r="D91" t="str">
        <f>VLOOKUP(B91,[1]ManipulationPage!$A$3:$D$541,4,FALSE)</f>
        <v>Baking</v>
      </c>
      <c r="G91" t="e">
        <f>VLOOKUP($F91,RecipeNotes!$A$2:$E$62,3,FALSE)</f>
        <v>#N/A</v>
      </c>
      <c r="H91" t="e">
        <f>VLOOKUP($F91,RecipeNotes!$A$2:$E$62,5,FALSE)</f>
        <v>#N/A</v>
      </c>
      <c r="I91" t="s">
        <v>130</v>
      </c>
    </row>
    <row r="92" spans="1:11" x14ac:dyDescent="0.2">
      <c r="A92" t="s">
        <v>711</v>
      </c>
      <c r="B92">
        <v>497</v>
      </c>
      <c r="C92">
        <v>3144</v>
      </c>
      <c r="D92" t="str">
        <f>VLOOKUP(B92,[1]ManipulationPage!$A$3:$D$541,4,FALSE)</f>
        <v>Baking</v>
      </c>
      <c r="F92" t="s">
        <v>1635</v>
      </c>
      <c r="G92" t="str">
        <f>VLOOKUP($F92,RecipeNotes!$A$2:$E$62,3,FALSE)</f>
        <v>Shortcut recipe: Gently mix the wet ingredients into the dry. Bake in oven until a toothpick comes out clean when pricking them (about 30 minutes)</v>
      </c>
      <c r="H92" t="str">
        <f>VLOOKUP($F92,RecipeNotes!$A$2:$E$62,5,FALSE)</f>
        <v>Shortcut opskrift: Ælt de våde ingredienser indi i de tørre nænsomt. Bag i ovnen indtil en tandstik kan komme ud af dem uden dej sidder fast.</v>
      </c>
      <c r="I92" t="s">
        <v>464</v>
      </c>
      <c r="J92" t="s">
        <v>465</v>
      </c>
      <c r="K92" t="s">
        <v>464</v>
      </c>
    </row>
    <row r="93" spans="1:11" x14ac:dyDescent="0.2">
      <c r="A93" t="s">
        <v>712</v>
      </c>
      <c r="B93">
        <v>425</v>
      </c>
      <c r="C93">
        <v>3026</v>
      </c>
      <c r="D93" t="str">
        <f>VLOOKUP(B93,[1]ManipulationPage!$A$3:$D$541,4,FALSE)</f>
        <v>Baking</v>
      </c>
      <c r="G93" t="e">
        <f>VLOOKUP($F93,RecipeNotes!$A$2:$E$62,3,FALSE)</f>
        <v>#N/A</v>
      </c>
      <c r="H93" t="e">
        <f>VLOOKUP($F93,RecipeNotes!$A$2:$E$62,5,FALSE)</f>
        <v>#N/A</v>
      </c>
      <c r="I93" t="s">
        <v>713</v>
      </c>
      <c r="J93" t="s">
        <v>714</v>
      </c>
      <c r="K93" t="s">
        <v>713</v>
      </c>
    </row>
    <row r="94" spans="1:11" x14ac:dyDescent="0.2">
      <c r="A94" t="s">
        <v>715</v>
      </c>
      <c r="B94">
        <v>712</v>
      </c>
      <c r="C94">
        <v>3591</v>
      </c>
      <c r="D94" t="str">
        <f>VLOOKUP(B94,[1]ManipulationPage!$A$3:$D$541,4,FALSE)</f>
        <v>Baking</v>
      </c>
      <c r="G94" t="e">
        <f>VLOOKUP($F94,RecipeNotes!$A$2:$E$62,3,FALSE)</f>
        <v>#N/A</v>
      </c>
      <c r="H94" t="e">
        <f>VLOOKUP($F94,RecipeNotes!$A$2:$E$62,5,FALSE)</f>
        <v>#N/A</v>
      </c>
      <c r="I94" t="s">
        <v>716</v>
      </c>
    </row>
    <row r="95" spans="1:11" x14ac:dyDescent="0.2">
      <c r="A95" t="s">
        <v>733</v>
      </c>
      <c r="B95">
        <v>574</v>
      </c>
      <c r="C95">
        <v>3256</v>
      </c>
      <c r="D95" t="str">
        <f>VLOOKUP(B95,[1]ManipulationPage!$A$3:$D$541,4,FALSE)</f>
        <v>Baking</v>
      </c>
      <c r="G95" t="e">
        <f>VLOOKUP($F95,RecipeNotes!$A$2:$E$62,3,FALSE)</f>
        <v>#N/A</v>
      </c>
      <c r="H95" t="e">
        <f>VLOOKUP($F95,RecipeNotes!$A$2:$E$62,5,FALSE)</f>
        <v>#N/A</v>
      </c>
      <c r="I95" t="s">
        <v>734</v>
      </c>
    </row>
    <row r="96" spans="1:11" x14ac:dyDescent="0.2">
      <c r="A96" t="s">
        <v>742</v>
      </c>
      <c r="B96">
        <v>625</v>
      </c>
      <c r="D96" t="str">
        <f>VLOOKUP(B96,[1]ManipulationPage!$A$3:$D$541,4,FALSE)</f>
        <v>Baking</v>
      </c>
      <c r="G96" t="e">
        <f>VLOOKUP($F96,RecipeNotes!$A$2:$E$62,3,FALSE)</f>
        <v>#N/A</v>
      </c>
      <c r="H96" t="e">
        <f>VLOOKUP($F96,RecipeNotes!$A$2:$E$62,5,FALSE)</f>
        <v>#N/A</v>
      </c>
    </row>
    <row r="97" spans="1:11" x14ac:dyDescent="0.2">
      <c r="A97" t="s">
        <v>743</v>
      </c>
      <c r="B97">
        <v>385</v>
      </c>
      <c r="C97">
        <v>2918</v>
      </c>
      <c r="D97" t="str">
        <f>VLOOKUP(B97,[1]ManipulationPage!$A$3:$D$541,4,FALSE)</f>
        <v>Baking</v>
      </c>
      <c r="F97" t="s">
        <v>125</v>
      </c>
      <c r="G97" t="str">
        <f>VLOOKUP($F97,RecipeNotes!$A$2:$E$62,3,FALSE)</f>
        <v>Shortcut recipe: knead in the wet ingredients into the dry until no flour pockets remain. Raise for 5 hours and bake for 1 hour (180 degrees).</v>
      </c>
      <c r="H97" t="str">
        <f>VLOOKUP($F97,RecipeNotes!$A$2:$E$62,5,FALSE)</f>
        <v>Shortcut opskrift: Ælt de våde ingredienser indi ide tørre, indtil der ikke er mel-lommer. Hæv i mindst 5 timer, bag i ovnen i en time (180 grader).</v>
      </c>
      <c r="I97" t="s">
        <v>744</v>
      </c>
      <c r="J97" t="s">
        <v>745</v>
      </c>
      <c r="K97" t="s">
        <v>744</v>
      </c>
    </row>
    <row r="98" spans="1:11" x14ac:dyDescent="0.2">
      <c r="A98" t="s">
        <v>746</v>
      </c>
      <c r="B98">
        <v>509</v>
      </c>
      <c r="C98">
        <v>3178</v>
      </c>
      <c r="D98" t="str">
        <f>VLOOKUP(B98,[1]ManipulationPage!$A$3:$D$541,4,FALSE)</f>
        <v>Baking</v>
      </c>
      <c r="F98" t="s">
        <v>125</v>
      </c>
      <c r="G98" t="str">
        <f>VLOOKUP($F98,RecipeNotes!$A$2:$E$62,3,FALSE)</f>
        <v>Shortcut recipe: knead in the wet ingredients into the dry until no flour pockets remain. Raise for 5 hours and bake for 1 hour (180 degrees).</v>
      </c>
      <c r="H98" t="str">
        <f>VLOOKUP($F98,RecipeNotes!$A$2:$E$62,5,FALSE)</f>
        <v>Shortcut opskrift: Ælt de våde ingredienser indi ide tørre, indtil der ikke er mel-lommer. Hæv i mindst 5 timer, bag i ovnen i en time (180 grader).</v>
      </c>
      <c r="I98" t="s">
        <v>696</v>
      </c>
      <c r="J98" t="s">
        <v>696</v>
      </c>
      <c r="K98" t="s">
        <v>696</v>
      </c>
    </row>
    <row r="99" spans="1:11" x14ac:dyDescent="0.2">
      <c r="A99" t="s">
        <v>778</v>
      </c>
      <c r="B99">
        <v>677</v>
      </c>
      <c r="C99">
        <v>3513</v>
      </c>
      <c r="D99" t="str">
        <f>VLOOKUP(B99,[1]ManipulationPage!$A$3:$D$541,4,FALSE)</f>
        <v>Baking</v>
      </c>
      <c r="F99" t="s">
        <v>173</v>
      </c>
      <c r="G99" t="str">
        <f>VLOOKUP($F99,RecipeNotes!$A$2:$E$62,3,FALSE)</f>
        <v>Shortcut recipe: Fold the dry ingredients gently into the wet ingredients. Bake at 180°C until a toothpick inserted in the middle comes out clean (about 40 minutes).</v>
      </c>
      <c r="H99" t="str">
        <f>VLOOKUP($F99,RecipeNotes!$A$2:$E$62,5,FALSE)</f>
        <v>Shortcut opskrift: Fold de tørre ingredienser ind i de våde. Bag i ovnen indtil en tandstik kan komme ud af dem uden dej sidder fast (ca 40 minutter).</v>
      </c>
    </row>
    <row r="100" spans="1:11" x14ac:dyDescent="0.2">
      <c r="A100" t="s">
        <v>861</v>
      </c>
      <c r="B100">
        <v>415</v>
      </c>
      <c r="C100">
        <v>3000</v>
      </c>
      <c r="D100" t="str">
        <f>VLOOKUP(B100,[1]ManipulationPage!$A$3:$D$541,4,FALSE)</f>
        <v>Baking</v>
      </c>
      <c r="F100" t="s">
        <v>173</v>
      </c>
      <c r="G100" t="str">
        <f>VLOOKUP($F100,RecipeNotes!$A$2:$E$62,3,FALSE)</f>
        <v>Shortcut recipe: Fold the dry ingredients gently into the wet ingredients. Bake at 180°C until a toothpick inserted in the middle comes out clean (about 40 minutes).</v>
      </c>
      <c r="H100" t="str">
        <f>VLOOKUP($F100,RecipeNotes!$A$2:$E$62,5,FALSE)</f>
        <v>Shortcut opskrift: Fold de tørre ingredienser ind i de våde. Bag i ovnen indtil en tandstik kan komme ud af dem uden dej sidder fast (ca 40 minutter).</v>
      </c>
      <c r="I100" t="s">
        <v>862</v>
      </c>
      <c r="J100" t="s">
        <v>862</v>
      </c>
      <c r="K100" t="s">
        <v>862</v>
      </c>
    </row>
    <row r="101" spans="1:11" x14ac:dyDescent="0.2">
      <c r="A101" t="s">
        <v>863</v>
      </c>
      <c r="B101">
        <v>405</v>
      </c>
      <c r="C101">
        <v>2974</v>
      </c>
      <c r="D101" t="str">
        <f>VLOOKUP(B101,[1]ManipulationPage!$A$3:$D$541,4,FALSE)</f>
        <v>Baking</v>
      </c>
      <c r="F101" t="s">
        <v>1650</v>
      </c>
      <c r="G101" t="str">
        <f>VLOOKUP($F101,RecipeNotes!$A$2:$E$62,3,FALSE)</f>
        <v>Shortcut recipe: Beat in the wet ingredients into the dry until no flour pockets remain. Do not overmix. Bake for 60 minutes (180 degrees)</v>
      </c>
      <c r="H101" t="str">
        <f>VLOOKUP($F101,RecipeNotes!$A$2:$E$62,5,FALSE)</f>
        <v>Shortcut opskrift: Slå de våde ingredienser indi de tørre indtil der ikke er flere 'mel-lommer' i dejen. Bag i ca 60 minutter (180 grader).</v>
      </c>
      <c r="I101" t="s">
        <v>864</v>
      </c>
      <c r="J101" t="s">
        <v>865</v>
      </c>
      <c r="K101" t="s">
        <v>864</v>
      </c>
    </row>
    <row r="102" spans="1:11" x14ac:dyDescent="0.2">
      <c r="A102" t="s">
        <v>866</v>
      </c>
      <c r="B102">
        <v>399</v>
      </c>
      <c r="C102">
        <v>2955</v>
      </c>
      <c r="D102" t="str">
        <f>VLOOKUP(B102,[1]ManipulationPage!$A$3:$D$541,4,FALSE)</f>
        <v>Baking</v>
      </c>
      <c r="F102" t="s">
        <v>210</v>
      </c>
      <c r="G102" t="str">
        <f>VLOOKUP($F102,RecipeNotes!$A$2:$E$62,3,FALSE)</f>
        <v>Shortcut recipe: Bake crust for 10 minutes, then add 'cheese' in the springform, and bake for another 45 minutes. Put in fridge overnight.</v>
      </c>
      <c r="H102" t="str">
        <f>VLOOKUP($F102,RecipeNotes!$A$2:$E$62,5,FALSE)</f>
        <v>Shortcut opskrift: Bag dejen i 10 minutter, tilføj derefter ost i springformen og bag i yderligere 45 mintter. Put i køleren over natten.</v>
      </c>
      <c r="I102" t="s">
        <v>264</v>
      </c>
      <c r="J102" t="s">
        <v>265</v>
      </c>
      <c r="K102" t="s">
        <v>264</v>
      </c>
    </row>
    <row r="103" spans="1:11" x14ac:dyDescent="0.2">
      <c r="A103" t="s">
        <v>867</v>
      </c>
      <c r="B103">
        <v>326</v>
      </c>
      <c r="C103">
        <v>2750</v>
      </c>
      <c r="D103" t="str">
        <f>VLOOKUP(B103,[1]ManipulationPage!$A$3:$D$541,4,FALSE)</f>
        <v>Baking</v>
      </c>
      <c r="G103" t="e">
        <f>VLOOKUP($F103,RecipeNotes!$A$2:$E$62,3,FALSE)</f>
        <v>#N/A</v>
      </c>
      <c r="H103" t="e">
        <f>VLOOKUP($F103,RecipeNotes!$A$2:$E$62,5,FALSE)</f>
        <v>#N/A</v>
      </c>
      <c r="I103" t="s">
        <v>215</v>
      </c>
      <c r="J103" t="s">
        <v>216</v>
      </c>
      <c r="K103" t="s">
        <v>217</v>
      </c>
    </row>
    <row r="104" spans="1:11" x14ac:dyDescent="0.2">
      <c r="A104" t="s">
        <v>868</v>
      </c>
      <c r="B104">
        <v>395</v>
      </c>
      <c r="C104">
        <v>2947</v>
      </c>
      <c r="D104" t="str">
        <f>VLOOKUP(B104,[1]ManipulationPage!$A$3:$D$541,4,FALSE)</f>
        <v>Baking</v>
      </c>
      <c r="F104" t="s">
        <v>1642</v>
      </c>
      <c r="G104" t="str">
        <f>VLOOKUP($F104,RecipeNotes!$A$2:$E$62,3,FALSE)</f>
        <v>Shortcut recipe: Drop spoonfuls of dough onto a baking sheet, evenly spaced out. Bake for 10 minutes at 160°C. The cookies will still be soft, but will firm up during cooling.</v>
      </c>
      <c r="H104" t="str">
        <f>VLOOKUP($F104,RecipeNotes!$A$2:$E$62,5,FALSE)</f>
        <v>Shortcut opskrift: Drop skefulde dej på et bagepapir fordelt ligeligt. Bag ved 160 grader i 10 mintter. De vil være bløde først men fastere, når de køler ned.</v>
      </c>
      <c r="I104" t="s">
        <v>267</v>
      </c>
      <c r="J104" t="s">
        <v>268</v>
      </c>
      <c r="K104" t="s">
        <v>267</v>
      </c>
    </row>
    <row r="105" spans="1:11" x14ac:dyDescent="0.2">
      <c r="A105" t="s">
        <v>872</v>
      </c>
      <c r="B105">
        <v>109</v>
      </c>
      <c r="C105">
        <v>1537</v>
      </c>
      <c r="D105" t="str">
        <f>VLOOKUP(B105,[1]ManipulationPage!$A$3:$D$541,4,FALSE)</f>
        <v>Baking</v>
      </c>
      <c r="F105" t="s">
        <v>1635</v>
      </c>
      <c r="G105" t="str">
        <f>VLOOKUP($F105,RecipeNotes!$A$2:$E$62,3,FALSE)</f>
        <v>Shortcut recipe: Gently mix the wet ingredients into the dry. Bake in oven until a toothpick comes out clean when pricking them (about 30 minutes)</v>
      </c>
      <c r="H105" t="str">
        <f>VLOOKUP($F105,RecipeNotes!$A$2:$E$62,5,FALSE)</f>
        <v>Shortcut opskrift: Ælt de våde ingredienser indi i de tørre nænsomt. Bag i ovnen indtil en tandstik kan komme ud af dem uden dej sidder fast.</v>
      </c>
      <c r="I105" t="s">
        <v>276</v>
      </c>
      <c r="J105" t="s">
        <v>277</v>
      </c>
      <c r="K105" t="s">
        <v>276</v>
      </c>
    </row>
    <row r="106" spans="1:11" x14ac:dyDescent="0.2">
      <c r="A106" t="s">
        <v>873</v>
      </c>
      <c r="B106">
        <v>371</v>
      </c>
      <c r="C106">
        <v>2884</v>
      </c>
      <c r="D106" t="str">
        <f>VLOOKUP(B106,[1]ManipulationPage!$A$3:$D$541,4,FALSE)</f>
        <v>Baking</v>
      </c>
      <c r="F106" t="s">
        <v>1635</v>
      </c>
      <c r="G106" t="str">
        <f>VLOOKUP($F106,RecipeNotes!$A$2:$E$62,3,FALSE)</f>
        <v>Shortcut recipe: Gently mix the wet ingredients into the dry. Bake in oven until a toothpick comes out clean when pricking them (about 30 minutes)</v>
      </c>
      <c r="H106" t="str">
        <f>VLOOKUP($F106,RecipeNotes!$A$2:$E$62,5,FALSE)</f>
        <v>Shortcut opskrift: Ælt de våde ingredienser indi i de tørre nænsomt. Bag i ovnen indtil en tandstik kan komme ud af dem uden dej sidder fast.</v>
      </c>
      <c r="I106" t="s">
        <v>161</v>
      </c>
      <c r="J106" t="s">
        <v>161</v>
      </c>
      <c r="K106" t="s">
        <v>161</v>
      </c>
    </row>
    <row r="107" spans="1:11" x14ac:dyDescent="0.2">
      <c r="A107" t="s">
        <v>874</v>
      </c>
      <c r="B107">
        <v>567</v>
      </c>
      <c r="C107">
        <v>3243</v>
      </c>
      <c r="D107" t="str">
        <f>VLOOKUP(B107,[1]ManipulationPage!$A$3:$D$541,4,FALSE)</f>
        <v>Baking</v>
      </c>
      <c r="G107" t="e">
        <f>VLOOKUP($F107,RecipeNotes!$A$2:$E$62,3,FALSE)</f>
        <v>#N/A</v>
      </c>
      <c r="H107" t="e">
        <f>VLOOKUP($F107,RecipeNotes!$A$2:$E$62,5,FALSE)</f>
        <v>#N/A</v>
      </c>
      <c r="I107" t="s">
        <v>875</v>
      </c>
    </row>
    <row r="108" spans="1:11" x14ac:dyDescent="0.2">
      <c r="A108" t="s">
        <v>876</v>
      </c>
      <c r="B108">
        <v>513</v>
      </c>
      <c r="C108">
        <v>3186</v>
      </c>
      <c r="D108" t="str">
        <f>VLOOKUP(B108,[1]ManipulationPage!$A$3:$D$541,4,FALSE)</f>
        <v>Baking</v>
      </c>
      <c r="G108" t="e">
        <f>VLOOKUP($F108,RecipeNotes!$A$2:$E$62,3,FALSE)</f>
        <v>#N/A</v>
      </c>
      <c r="H108" t="e">
        <f>VLOOKUP($F108,RecipeNotes!$A$2:$E$62,5,FALSE)</f>
        <v>#N/A</v>
      </c>
      <c r="I108" t="s">
        <v>655</v>
      </c>
      <c r="J108" t="s">
        <v>655</v>
      </c>
      <c r="K108" t="s">
        <v>655</v>
      </c>
    </row>
    <row r="109" spans="1:11" x14ac:dyDescent="0.2">
      <c r="A109" t="s">
        <v>878</v>
      </c>
      <c r="B109">
        <v>427</v>
      </c>
      <c r="C109">
        <v>3028</v>
      </c>
      <c r="D109" t="str">
        <f>VLOOKUP(B109,[1]ManipulationPage!$A$3:$D$541,4,FALSE)</f>
        <v>Baking</v>
      </c>
      <c r="G109" t="e">
        <f>VLOOKUP($F109,RecipeNotes!$A$2:$E$62,3,FALSE)</f>
        <v>#N/A</v>
      </c>
      <c r="H109" t="e">
        <f>VLOOKUP($F109,RecipeNotes!$A$2:$E$62,5,FALSE)</f>
        <v>#N/A</v>
      </c>
      <c r="I109" t="s">
        <v>852</v>
      </c>
      <c r="J109" t="s">
        <v>853</v>
      </c>
      <c r="K109" t="s">
        <v>852</v>
      </c>
    </row>
    <row r="110" spans="1:11" x14ac:dyDescent="0.2">
      <c r="A110" t="s">
        <v>880</v>
      </c>
      <c r="B110">
        <v>469</v>
      </c>
      <c r="C110">
        <v>3104</v>
      </c>
      <c r="D110" t="str">
        <f>VLOOKUP(B110,[1]ManipulationPage!$A$3:$D$541,4,FALSE)</f>
        <v>Baking</v>
      </c>
      <c r="F110" t="s">
        <v>1635</v>
      </c>
      <c r="G110" t="str">
        <f>VLOOKUP($F110,RecipeNotes!$A$2:$E$62,3,FALSE)</f>
        <v>Shortcut recipe: Gently mix the wet ingredients into the dry. Bake in oven until a toothpick comes out clean when pricking them (about 30 minutes)</v>
      </c>
      <c r="H110" t="str">
        <f>VLOOKUP($F110,RecipeNotes!$A$2:$E$62,5,FALSE)</f>
        <v>Shortcut opskrift: Ælt de våde ingredienser indi i de tørre nænsomt. Bag i ovnen indtil en tandstik kan komme ud af dem uden dej sidder fast.</v>
      </c>
      <c r="I110" t="s">
        <v>573</v>
      </c>
      <c r="J110" t="s">
        <v>574</v>
      </c>
      <c r="K110" t="s">
        <v>573</v>
      </c>
    </row>
    <row r="111" spans="1:11" x14ac:dyDescent="0.2">
      <c r="A111" t="s">
        <v>881</v>
      </c>
      <c r="B111">
        <v>493</v>
      </c>
      <c r="C111">
        <v>3138</v>
      </c>
      <c r="D111" t="str">
        <f>VLOOKUP(B111,[1]ManipulationPage!$A$3:$D$541,4,FALSE)</f>
        <v>Baking</v>
      </c>
      <c r="F111" t="s">
        <v>597</v>
      </c>
      <c r="G111" t="str">
        <f>VLOOKUP($F111,RecipeNotes!$A$2:$E$62,3,FALSE)</f>
        <v>Shortcut recipe: Mix ingredients gently in a bowl. Heat a pan with oil or butter. Add in thin layers. 2 minutes per side.</v>
      </c>
      <c r="H111" t="str">
        <f>VLOOKUP($F111,RecipeNotes!$A$2:$E$62,5,FALSE)</f>
        <v>Shortcut opskrift: Bland ingredienserne nænsomt i en skål. Varn en pande med olie/smør og tilføj dejen i små lag. 2 minutter per side.</v>
      </c>
    </row>
    <row r="112" spans="1:11" x14ac:dyDescent="0.2">
      <c r="A112" t="s">
        <v>125</v>
      </c>
      <c r="B112">
        <v>383</v>
      </c>
      <c r="C112">
        <v>2914</v>
      </c>
      <c r="D112" t="str">
        <f>VLOOKUP(B112,[1]ManipulationPage!$A$3:$D$541,4,FALSE)</f>
        <v>Baking_verified</v>
      </c>
      <c r="E112">
        <v>2</v>
      </c>
      <c r="F112" t="s">
        <v>125</v>
      </c>
      <c r="G112" t="str">
        <f>VLOOKUP($F112,RecipeNotes!$A$2:$E$62,3,FALSE)</f>
        <v>Shortcut recipe: knead in the wet ingredients into the dry until no flour pockets remain. Raise for 5 hours and bake for 1 hour (180 degrees).</v>
      </c>
      <c r="H112" t="str">
        <f>VLOOKUP($F112,RecipeNotes!$A$2:$E$62,5,FALSE)</f>
        <v>Shortcut opskrift: Ælt de våde ingredienser indi ide tørre, indtil der ikke er mel-lommer. Hæv i mindst 5 timer, bag i ovnen i en time (180 grader).</v>
      </c>
      <c r="I112" t="s">
        <v>126</v>
      </c>
      <c r="J112" t="s">
        <v>127</v>
      </c>
      <c r="K112" t="s">
        <v>126</v>
      </c>
    </row>
    <row r="113" spans="1:11" x14ac:dyDescent="0.2">
      <c r="A113" t="s">
        <v>146</v>
      </c>
      <c r="B113">
        <v>455</v>
      </c>
      <c r="C113">
        <v>3079</v>
      </c>
      <c r="D113" t="str">
        <f>VLOOKUP(B113,[1]ManipulationPage!$A$3:$D$541,4,FALSE)</f>
        <v>Baking_verified</v>
      </c>
      <c r="E113">
        <v>2</v>
      </c>
      <c r="F113" t="s">
        <v>173</v>
      </c>
      <c r="G113" t="str">
        <f>VLOOKUP($F113,RecipeNotes!$A$2:$E$62,3,FALSE)</f>
        <v>Shortcut recipe: Fold the dry ingredients gently into the wet ingredients. Bake at 180°C until a toothpick inserted in the middle comes out clean (about 40 minutes).</v>
      </c>
      <c r="H113" t="str">
        <f>VLOOKUP($F113,RecipeNotes!$A$2:$E$62,5,FALSE)</f>
        <v>Shortcut opskrift: Fold de tørre ingredienser ind i de våde. Bag i ovnen indtil en tandstik kan komme ud af dem uden dej sidder fast (ca 40 minutter).</v>
      </c>
      <c r="I113" t="s">
        <v>147</v>
      </c>
      <c r="J113" t="s">
        <v>148</v>
      </c>
      <c r="K113" t="s">
        <v>147</v>
      </c>
    </row>
    <row r="114" spans="1:11" x14ac:dyDescent="0.2">
      <c r="A114" t="s">
        <v>173</v>
      </c>
      <c r="B114">
        <v>501</v>
      </c>
      <c r="C114">
        <v>3152</v>
      </c>
      <c r="D114" t="str">
        <f>VLOOKUP(B114,[1]ManipulationPage!$A$3:$D$541,4,FALSE)</f>
        <v>Baking_verified</v>
      </c>
      <c r="E114">
        <v>2</v>
      </c>
      <c r="F114" t="s">
        <v>173</v>
      </c>
      <c r="G114" t="str">
        <f>VLOOKUP($F114,RecipeNotes!$A$2:$E$62,3,FALSE)</f>
        <v>Shortcut recipe: Fold the dry ingredients gently into the wet ingredients. Bake at 180°C until a toothpick inserted in the middle comes out clean (about 40 minutes).</v>
      </c>
      <c r="H114" t="str">
        <f>VLOOKUP($F114,RecipeNotes!$A$2:$E$62,5,FALSE)</f>
        <v>Shortcut opskrift: Fold de tørre ingredienser ind i de våde. Bag i ovnen indtil en tandstik kan komme ud af dem uden dej sidder fast (ca 40 minutter).</v>
      </c>
      <c r="I114" t="s">
        <v>174</v>
      </c>
      <c r="J114" t="s">
        <v>175</v>
      </c>
    </row>
    <row r="115" spans="1:11" x14ac:dyDescent="0.2">
      <c r="A115" t="s">
        <v>184</v>
      </c>
      <c r="B115">
        <v>445</v>
      </c>
      <c r="C115">
        <v>3062</v>
      </c>
      <c r="D115" t="str">
        <f>VLOOKUP(B115,[1]ManipulationPage!$A$3:$D$541,4,FALSE)</f>
        <v>Baking_verified</v>
      </c>
      <c r="E115">
        <v>2</v>
      </c>
      <c r="F115" t="s">
        <v>173</v>
      </c>
      <c r="G115" t="str">
        <f>VLOOKUP($F115,RecipeNotes!$A$2:$E$62,3,FALSE)</f>
        <v>Shortcut recipe: Fold the dry ingredients gently into the wet ingredients. Bake at 180°C until a toothpick inserted in the middle comes out clean (about 40 minutes).</v>
      </c>
      <c r="H115" t="str">
        <f>VLOOKUP($F115,RecipeNotes!$A$2:$E$62,5,FALSE)</f>
        <v>Shortcut opskrift: Fold de tørre ingredienser ind i de våde. Bag i ovnen indtil en tandstik kan komme ud af dem uden dej sidder fast (ca 40 minutter).</v>
      </c>
      <c r="I115" t="s">
        <v>185</v>
      </c>
      <c r="J115" t="s">
        <v>186</v>
      </c>
      <c r="K115" t="s">
        <v>185</v>
      </c>
    </row>
    <row r="116" spans="1:11" x14ac:dyDescent="0.2">
      <c r="A116" t="s">
        <v>187</v>
      </c>
      <c r="B116">
        <v>437</v>
      </c>
      <c r="C116">
        <v>3051</v>
      </c>
      <c r="D116" t="str">
        <f>VLOOKUP(B116,[1]ManipulationPage!$A$3:$D$541,4,FALSE)</f>
        <v>Baking_verified</v>
      </c>
      <c r="E116">
        <v>2</v>
      </c>
      <c r="F116" t="s">
        <v>363</v>
      </c>
      <c r="G116" t="str">
        <f>VLOOKUP($F116,RecipeNotes!$A$2:$E$62,3,FALSE)</f>
        <v>Shortcut recipe: Mash until reaches a cookie dough-like consistency. Add a little more wet or dry ingredients if needed to get the right texture. Form into balls and enjoy!</v>
      </c>
      <c r="H116" t="str">
        <f>VLOOKUP($F116,RecipeNotes!$A$2:$E$62,5,FALSE)</f>
        <v>Shortcut opskrift: Ælt indtil konsistensen minder om kagedej. Form indtil kugler.</v>
      </c>
      <c r="I116" t="s">
        <v>188</v>
      </c>
      <c r="J116" t="s">
        <v>189</v>
      </c>
      <c r="K116" t="s">
        <v>188</v>
      </c>
    </row>
    <row r="117" spans="1:11" x14ac:dyDescent="0.2">
      <c r="A117" t="s">
        <v>210</v>
      </c>
      <c r="B117">
        <v>1152</v>
      </c>
      <c r="C117">
        <v>10095</v>
      </c>
      <c r="D117" t="str">
        <f>VLOOKUP(B117,[1]ManipulationPage!$A$3:$D$541,4,FALSE)</f>
        <v>Baking_verified</v>
      </c>
      <c r="E117">
        <v>2</v>
      </c>
      <c r="F117" t="s">
        <v>210</v>
      </c>
      <c r="G117" t="str">
        <f>VLOOKUP($F117,RecipeNotes!$A$2:$E$62,3,FALSE)</f>
        <v>Shortcut recipe: Bake crust for 10 minutes, then add 'cheese' in the springform, and bake for another 45 minutes. Put in fridge overnight.</v>
      </c>
      <c r="H117" t="str">
        <f>VLOOKUP($F117,RecipeNotes!$A$2:$E$62,5,FALSE)</f>
        <v>Shortcut opskrift: Bag dejen i 10 minutter, tilføj derefter ost i springformen og bag i yderligere 45 mintter. Put i køleren over natten.</v>
      </c>
    </row>
    <row r="118" spans="1:11" x14ac:dyDescent="0.2">
      <c r="A118" t="s">
        <v>214</v>
      </c>
      <c r="B118">
        <v>96</v>
      </c>
      <c r="C118">
        <v>1441</v>
      </c>
      <c r="D118" t="str">
        <f>VLOOKUP(B118,[1]ManipulationPage!$A$3:$D$541,4,FALSE)</f>
        <v>Baking_verified</v>
      </c>
      <c r="E118">
        <v>2</v>
      </c>
      <c r="F118" t="s">
        <v>626</v>
      </c>
      <c r="G118" t="str">
        <f>VLOOKUP($F118,RecipeNotes!$A$2:$E$62,3,FALSE)</f>
        <v>Shortcut recipe: Add boiling water to oats with a bit of salt. Wait 5 minutes. Then add your condiments</v>
      </c>
      <c r="H118" t="str">
        <f>VLOOKUP($F118,RecipeNotes!$A$2:$E$62,5,FALSE)</f>
        <v>Shortcut opskrift: Tilføj kogende vand og en smule salt - vent 5 minutter… vupti!</v>
      </c>
      <c r="I118" t="s">
        <v>215</v>
      </c>
      <c r="J118" t="s">
        <v>216</v>
      </c>
      <c r="K118" t="s">
        <v>217</v>
      </c>
    </row>
    <row r="119" spans="1:11" x14ac:dyDescent="0.2">
      <c r="A119" t="s">
        <v>263</v>
      </c>
      <c r="B119">
        <v>1151</v>
      </c>
      <c r="C119">
        <v>10093</v>
      </c>
      <c r="D119" t="str">
        <f>VLOOKUP(B119,[1]ManipulationPage!$A$3:$D$541,4,FALSE)</f>
        <v>Baking_verified</v>
      </c>
      <c r="F119" t="s">
        <v>210</v>
      </c>
      <c r="G119" t="str">
        <f>VLOOKUP($F119,RecipeNotes!$A$2:$E$62,3,FALSE)</f>
        <v>Shortcut recipe: Bake crust for 10 minutes, then add 'cheese' in the springform, and bake for another 45 minutes. Put in fridge overnight.</v>
      </c>
      <c r="H119" t="str">
        <f>VLOOKUP($F119,RecipeNotes!$A$2:$E$62,5,FALSE)</f>
        <v>Shortcut opskrift: Bag dejen i 10 minutter, tilføj derefter ost i springformen og bag i yderligere 45 mintter. Put i køleren over natten.</v>
      </c>
    </row>
    <row r="120" spans="1:11" x14ac:dyDescent="0.2">
      <c r="A120" t="s">
        <v>266</v>
      </c>
      <c r="B120">
        <v>393</v>
      </c>
      <c r="C120">
        <v>2943</v>
      </c>
      <c r="D120" t="str">
        <f>VLOOKUP(B120,[1]ManipulationPage!$A$3:$D$541,4,FALSE)</f>
        <v>Baking_verified</v>
      </c>
      <c r="F120" t="s">
        <v>1642</v>
      </c>
      <c r="G120" t="str">
        <f>VLOOKUP($F120,RecipeNotes!$A$2:$E$62,3,FALSE)</f>
        <v>Shortcut recipe: Drop spoonfuls of dough onto a baking sheet, evenly spaced out. Bake for 10 minutes at 160°C. The cookies will still be soft, but will firm up during cooling.</v>
      </c>
      <c r="H120" t="str">
        <f>VLOOKUP($F120,RecipeNotes!$A$2:$E$62,5,FALSE)</f>
        <v>Shortcut opskrift: Drop skefulde dej på et bagepapir fordelt ligeligt. Bag ved 160 grader i 10 mintter. De vil være bløde først men fastere, når de køler ned.</v>
      </c>
      <c r="I120" t="s">
        <v>267</v>
      </c>
      <c r="J120" t="s">
        <v>268</v>
      </c>
      <c r="K120" t="s">
        <v>267</v>
      </c>
    </row>
    <row r="121" spans="1:11" x14ac:dyDescent="0.2">
      <c r="A121" t="s">
        <v>275</v>
      </c>
      <c r="B121">
        <v>107</v>
      </c>
      <c r="C121">
        <v>1523</v>
      </c>
      <c r="D121" t="str">
        <f>VLOOKUP(B121,[1]ManipulationPage!$A$3:$D$541,4,FALSE)</f>
        <v>Baking_verified</v>
      </c>
      <c r="F121" t="s">
        <v>1643</v>
      </c>
      <c r="G121" t="str">
        <f>VLOOKUP($F121,RecipeNotes!$A$2:$E$62,3,FALSE)</f>
        <v>Shortcut recipe: Gently mix the wet ingredients into the dry. Bake in oven until a toothpick comes out clean when pricking them (about 30 minutes)</v>
      </c>
      <c r="H121" t="str">
        <f>VLOOKUP($F121,RecipeNotes!$A$2:$E$62,5,FALSE)</f>
        <v>Shortcut opskrift: Ælt de våde ingredienser indi i de tørre nænsomt. Bag i ovnen indtil en tandstik kan komme ud af dem uden dej sidder fast.</v>
      </c>
      <c r="I121" t="s">
        <v>276</v>
      </c>
      <c r="J121" t="s">
        <v>277</v>
      </c>
      <c r="K121" t="s">
        <v>276</v>
      </c>
    </row>
    <row r="122" spans="1:11" x14ac:dyDescent="0.2">
      <c r="A122" t="s">
        <v>279</v>
      </c>
      <c r="B122">
        <v>439</v>
      </c>
      <c r="C122">
        <v>3054</v>
      </c>
      <c r="D122" t="str">
        <f>VLOOKUP(B122,[1]ManipulationPage!$A$3:$D$541,4,FALSE)</f>
        <v>Baking_verified</v>
      </c>
      <c r="F122" t="s">
        <v>363</v>
      </c>
      <c r="G122" t="str">
        <f>VLOOKUP($F122,RecipeNotes!$A$2:$E$62,3,FALSE)</f>
        <v>Shortcut recipe: Mash until reaches a cookie dough-like consistency. Add a little more wet or dry ingredients if needed to get the right texture. Form into balls and enjoy!</v>
      </c>
      <c r="H122" t="str">
        <f>VLOOKUP($F122,RecipeNotes!$A$2:$E$62,5,FALSE)</f>
        <v>Shortcut opskrift: Ælt indtil konsistensen minder om kagedej. Form indtil kugler.</v>
      </c>
      <c r="I122" t="s">
        <v>280</v>
      </c>
      <c r="J122" t="s">
        <v>281</v>
      </c>
      <c r="K122" t="s">
        <v>280</v>
      </c>
    </row>
    <row r="123" spans="1:11" x14ac:dyDescent="0.2">
      <c r="A123" t="s">
        <v>363</v>
      </c>
      <c r="B123">
        <v>505</v>
      </c>
      <c r="C123">
        <v>3168</v>
      </c>
      <c r="D123" t="str">
        <f>VLOOKUP(B123,[1]ManipulationPage!$A$3:$D$541,4,FALSE)</f>
        <v>Baking_verified</v>
      </c>
      <c r="F123" t="s">
        <v>363</v>
      </c>
      <c r="G123" t="str">
        <f>VLOOKUP($F123,RecipeNotes!$A$2:$E$62,3,FALSE)</f>
        <v>Shortcut recipe: Mash until reaches a cookie dough-like consistency. Add a little more wet or dry ingredients if needed to get the right texture. Form into balls and enjoy!</v>
      </c>
      <c r="H123" t="str">
        <f>VLOOKUP($F123,RecipeNotes!$A$2:$E$62,5,FALSE)</f>
        <v>Shortcut opskrift: Ælt indtil konsistensen minder om kagedej. Form indtil kugler.</v>
      </c>
      <c r="I123" t="s">
        <v>53</v>
      </c>
      <c r="J123" t="s">
        <v>54</v>
      </c>
      <c r="K123" t="s">
        <v>53</v>
      </c>
    </row>
    <row r="124" spans="1:11" x14ac:dyDescent="0.2">
      <c r="A124" t="s">
        <v>388</v>
      </c>
      <c r="B124">
        <v>403</v>
      </c>
      <c r="C124">
        <v>2970</v>
      </c>
      <c r="D124" t="str">
        <f>VLOOKUP(B124,[1]ManipulationPage!$A$3:$D$541,4,FALSE)</f>
        <v>Baking_verified</v>
      </c>
      <c r="G124" t="e">
        <f>VLOOKUP($F124,RecipeNotes!$A$2:$E$62,3,FALSE)</f>
        <v>#N/A</v>
      </c>
      <c r="H124" t="e">
        <f>VLOOKUP($F124,RecipeNotes!$A$2:$E$62,5,FALSE)</f>
        <v>#N/A</v>
      </c>
      <c r="I124" t="s">
        <v>389</v>
      </c>
      <c r="J124" t="s">
        <v>390</v>
      </c>
      <c r="K124" t="s">
        <v>391</v>
      </c>
    </row>
    <row r="125" spans="1:11" x14ac:dyDescent="0.2">
      <c r="A125" t="s">
        <v>392</v>
      </c>
      <c r="B125">
        <v>1150</v>
      </c>
      <c r="C125">
        <v>10091</v>
      </c>
      <c r="D125" t="str">
        <f>VLOOKUP(B125,[1]ManipulationPage!$A$3:$D$541,4,FALSE)</f>
        <v>Baking_verified</v>
      </c>
      <c r="G125" t="e">
        <f>VLOOKUP($F125,RecipeNotes!$A$2:$E$62,3,FALSE)</f>
        <v>#N/A</v>
      </c>
      <c r="H125" t="e">
        <f>VLOOKUP($F125,RecipeNotes!$A$2:$E$62,5,FALSE)</f>
        <v>#N/A</v>
      </c>
    </row>
    <row r="126" spans="1:11" x14ac:dyDescent="0.2">
      <c r="A126" t="s">
        <v>427</v>
      </c>
      <c r="B126">
        <v>411</v>
      </c>
      <c r="C126">
        <v>2991</v>
      </c>
      <c r="D126" t="str">
        <f>VLOOKUP(B126,[1]ManipulationPage!$A$3:$D$541,4,FALSE)</f>
        <v>Baking_verified</v>
      </c>
      <c r="G126" t="e">
        <f>VLOOKUP($F126,RecipeNotes!$A$2:$E$62,3,FALSE)</f>
        <v>#N/A</v>
      </c>
      <c r="H126" t="e">
        <f>VLOOKUP($F126,RecipeNotes!$A$2:$E$62,5,FALSE)</f>
        <v>#N/A</v>
      </c>
      <c r="I126" t="s">
        <v>428</v>
      </c>
      <c r="J126" t="s">
        <v>428</v>
      </c>
      <c r="K126" t="s">
        <v>428</v>
      </c>
    </row>
    <row r="127" spans="1:11" x14ac:dyDescent="0.2">
      <c r="A127" t="s">
        <v>547</v>
      </c>
      <c r="B127">
        <v>377</v>
      </c>
      <c r="C127">
        <v>2895</v>
      </c>
      <c r="D127" t="str">
        <f>VLOOKUP(B127,[1]ManipulationPage!$A$3:$D$541,4,FALSE)</f>
        <v>Baking_verified</v>
      </c>
      <c r="E127">
        <v>2</v>
      </c>
      <c r="F127" t="s">
        <v>1635</v>
      </c>
      <c r="G127" t="str">
        <f>VLOOKUP($F127,RecipeNotes!$A$2:$E$62,3,FALSE)</f>
        <v>Shortcut recipe: Gently mix the wet ingredients into the dry. Bake in oven until a toothpick comes out clean when pricking them (about 30 minutes)</v>
      </c>
      <c r="H127" t="str">
        <f>VLOOKUP($F127,RecipeNotes!$A$2:$E$62,5,FALSE)</f>
        <v>Shortcut opskrift: Ælt de våde ingredienser indi i de tørre nænsomt. Bag i ovnen indtil en tandstik kan komme ud af dem uden dej sidder fast.</v>
      </c>
    </row>
    <row r="128" spans="1:11" x14ac:dyDescent="0.2">
      <c r="A128" t="s">
        <v>597</v>
      </c>
      <c r="B128">
        <v>584</v>
      </c>
      <c r="C128">
        <v>3266</v>
      </c>
      <c r="D128" t="str">
        <f>VLOOKUP(B128,[1]ManipulationPage!$A$3:$D$541,4,FALSE)</f>
        <v>Baking_verified</v>
      </c>
      <c r="E128">
        <v>2</v>
      </c>
      <c r="F128" t="s">
        <v>597</v>
      </c>
      <c r="G128" t="str">
        <f>VLOOKUP($F128,RecipeNotes!$A$2:$E$62,3,FALSE)</f>
        <v>Shortcut recipe: Mix ingredients gently in a bowl. Heat a pan with oil or butter. Add in thin layers. 2 minutes per side.</v>
      </c>
      <c r="H128" t="str">
        <f>VLOOKUP($F128,RecipeNotes!$A$2:$E$62,5,FALSE)</f>
        <v>Shortcut opskrift: Bland ingredienserne nænsomt i en skål. Varn en pande med olie/smør og tilføj dejen i små lag. 2 minutter per side.</v>
      </c>
      <c r="I128" t="s">
        <v>486</v>
      </c>
      <c r="J128" t="s">
        <v>486</v>
      </c>
      <c r="K128" t="s">
        <v>486</v>
      </c>
    </row>
    <row r="129" spans="1:11" x14ac:dyDescent="0.2">
      <c r="A129" t="s">
        <v>795</v>
      </c>
      <c r="B129">
        <v>1160</v>
      </c>
      <c r="C129">
        <v>10843</v>
      </c>
      <c r="D129" t="str">
        <f>VLOOKUP(B129,[1]ManipulationPage!$A$3:$D$541,4,FALSE)</f>
        <v>Baking_verified</v>
      </c>
      <c r="F129" t="s">
        <v>597</v>
      </c>
      <c r="G129" t="str">
        <f>VLOOKUP($F129,RecipeNotes!$A$2:$E$62,3,FALSE)</f>
        <v>Shortcut recipe: Mix ingredients gently in a bowl. Heat a pan with oil or butter. Add in thin layers. 2 minutes per side.</v>
      </c>
      <c r="H129" t="str">
        <f>VLOOKUP($F129,RecipeNotes!$A$2:$E$62,5,FALSE)</f>
        <v>Shortcut opskrift: Bland ingredienserne nænsomt i en skål. Varn en pande med olie/smør og tilføj dejen i små lag. 2 minutter per side.</v>
      </c>
      <c r="I129" t="s">
        <v>486</v>
      </c>
      <c r="J129" t="s">
        <v>486</v>
      </c>
      <c r="K129" t="s">
        <v>486</v>
      </c>
    </row>
    <row r="130" spans="1:11" x14ac:dyDescent="0.2">
      <c r="A130" t="s">
        <v>809</v>
      </c>
      <c r="B130">
        <v>1154</v>
      </c>
      <c r="C130">
        <v>10099</v>
      </c>
      <c r="D130" t="str">
        <f>VLOOKUP(B130,[1]ManipulationPage!$A$3:$D$541,4,FALSE)</f>
        <v>Baking_verified</v>
      </c>
      <c r="G130" t="e">
        <f>VLOOKUP($F130,RecipeNotes!$A$2:$E$62,3,FALSE)</f>
        <v>#N/A</v>
      </c>
      <c r="H130" t="e">
        <f>VLOOKUP($F130,RecipeNotes!$A$2:$E$62,5,FALSE)</f>
        <v>#N/A</v>
      </c>
    </row>
    <row r="131" spans="1:11" x14ac:dyDescent="0.2">
      <c r="A131" t="s">
        <v>810</v>
      </c>
      <c r="B131">
        <v>775</v>
      </c>
      <c r="C131">
        <v>3722</v>
      </c>
      <c r="D131" t="str">
        <f>VLOOKUP(B131,[1]ManipulationPage!$A$3:$D$541,4,FALSE)</f>
        <v>Baking_verified</v>
      </c>
      <c r="G131" t="e">
        <f>VLOOKUP($F131,RecipeNotes!$A$2:$E$62,3,FALSE)</f>
        <v>#N/A</v>
      </c>
      <c r="H131" t="e">
        <f>VLOOKUP($F131,RecipeNotes!$A$2:$E$62,5,FALSE)</f>
        <v>#N/A</v>
      </c>
    </row>
    <row r="132" spans="1:11" x14ac:dyDescent="0.2">
      <c r="A132" t="s">
        <v>851</v>
      </c>
      <c r="B132">
        <v>461</v>
      </c>
      <c r="C132">
        <v>3086</v>
      </c>
      <c r="D132" t="str">
        <f>VLOOKUP(B132,[1]ManipulationPage!$A$3:$D$541,4,FALSE)</f>
        <v>Baking_verified</v>
      </c>
      <c r="G132" t="e">
        <f>VLOOKUP($F132,RecipeNotes!$A$2:$E$62,3,FALSE)</f>
        <v>#N/A</v>
      </c>
      <c r="H132" t="e">
        <f>VLOOKUP($F132,RecipeNotes!$A$2:$E$62,5,FALSE)</f>
        <v>#N/A</v>
      </c>
      <c r="I132" t="s">
        <v>852</v>
      </c>
      <c r="J132" t="s">
        <v>853</v>
      </c>
      <c r="K132" t="s">
        <v>852</v>
      </c>
    </row>
    <row r="133" spans="1:11" x14ac:dyDescent="0.2">
      <c r="A133" t="s">
        <v>854</v>
      </c>
      <c r="B133">
        <v>587</v>
      </c>
      <c r="D133" t="str">
        <f>VLOOKUP(B133,[1]ManipulationPage!$A$3:$D$541,4,FALSE)</f>
        <v>Baking_verified</v>
      </c>
      <c r="G133" t="e">
        <f>VLOOKUP($F133,RecipeNotes!$A$2:$E$62,3,FALSE)</f>
        <v>#N/A</v>
      </c>
      <c r="H133" t="e">
        <f>VLOOKUP($F133,RecipeNotes!$A$2:$E$62,5,FALSE)</f>
        <v>#N/A</v>
      </c>
    </row>
    <row r="134" spans="1:11" x14ac:dyDescent="0.2">
      <c r="A134" t="s">
        <v>858</v>
      </c>
      <c r="B134">
        <v>36</v>
      </c>
      <c r="C134">
        <v>1167</v>
      </c>
      <c r="D134" t="str">
        <f>VLOOKUP(B134,[1]ManipulationPage!$A$3:$D$541,4,FALSE)</f>
        <v>Baking_verified</v>
      </c>
      <c r="E134" t="s">
        <v>1386</v>
      </c>
      <c r="F134" t="str">
        <f>RecipeNotes!A25</f>
        <v>Porridge</v>
      </c>
      <c r="G134" t="str">
        <f>VLOOKUP($F134,RecipeNotes!$A$2:$E$62,3,FALSE)</f>
        <v>Shortcut recipe: Add boiling water to oats with a bit of salt. Wait 5 minutes. Then add your condiments</v>
      </c>
      <c r="H134" t="str">
        <f>VLOOKUP($F134,RecipeNotes!$A$2:$E$62,5,FALSE)</f>
        <v>Shortcut opskrift: Tilføj kogende vand og en smule salt - vent 5 minutter… vupti!</v>
      </c>
      <c r="I134" t="s">
        <v>627</v>
      </c>
      <c r="J134" t="s">
        <v>628</v>
      </c>
      <c r="K134" t="s">
        <v>629</v>
      </c>
    </row>
    <row r="135" spans="1:11" x14ac:dyDescent="0.2">
      <c r="A135" t="s">
        <v>123</v>
      </c>
      <c r="B135">
        <v>1080</v>
      </c>
      <c r="C135">
        <v>8819</v>
      </c>
      <c r="D135" t="str">
        <f>VLOOKUP(B135,[1]ManipulationPage!$A$3:$D$541,4,FALSE)</f>
        <v>Brazil</v>
      </c>
      <c r="E135" t="s">
        <v>1386</v>
      </c>
      <c r="F135" t="s">
        <v>770</v>
      </c>
      <c r="G135" t="str">
        <f>VLOOKUP($F135,RecipeNotes!$A$2:$E$62,3,FALSE)</f>
        <v xml:space="preserve">Shortcut recipe: Fry onions and spices on a pan. Add veggies. Add water with stock/broth. Taste and balance with salt, sugar, sour, and umami.  </v>
      </c>
      <c r="H135" t="str">
        <f>VLOOKUP($F135,RecipeNotes!$A$2:$E$62,5,FALSE)</f>
        <v xml:space="preserve">Shortcut opskrift: Steg løg og krydderier på panden. Tilføj grøntsager Til føj vand med buillon. Smag til med salt, sukker, syre og umami.  </v>
      </c>
    </row>
    <row r="136" spans="1:11" x14ac:dyDescent="0.2">
      <c r="A136" t="s">
        <v>124</v>
      </c>
      <c r="B136">
        <v>1078</v>
      </c>
      <c r="C136">
        <v>8775</v>
      </c>
      <c r="D136" t="str">
        <f>VLOOKUP(B136,[1]ManipulationPage!$A$3:$D$541,4,FALSE)</f>
        <v>Brazil</v>
      </c>
      <c r="E136">
        <v>2</v>
      </c>
      <c r="F136" t="s">
        <v>354</v>
      </c>
      <c r="G136" t="str">
        <f>VLOOKUP($F136,RecipeNotes!$A$2:$E$62,3,FALSE)</f>
        <v>Shortcut recipe: Cook then mash with a blender or fork. Taste and balance with salt, sugar, sour, and umami.</v>
      </c>
      <c r="H136" t="str">
        <f>VLOOKUP($F136,RecipeNotes!$A$2:$E$62,5,FALSE)</f>
        <v>Shortcut opskrift: Kog og blend derefter med en gaffel eller blender. Smag til med salt, sukker, syre og umami.</v>
      </c>
    </row>
    <row r="137" spans="1:11" x14ac:dyDescent="0.2">
      <c r="A137" t="s">
        <v>69</v>
      </c>
      <c r="B137">
        <v>145</v>
      </c>
      <c r="C137">
        <v>1773</v>
      </c>
      <c r="D137" t="str">
        <f>VLOOKUP(B137,[1]ManipulationPage!$A$3:$D$541,4,FALSE)</f>
        <v>Burger</v>
      </c>
      <c r="E137" t="s">
        <v>1386</v>
      </c>
      <c r="F137" t="str">
        <f>RecipeNotes!A34</f>
        <v>Burger pattys</v>
      </c>
      <c r="G137" t="str">
        <f>VLOOKUP($F137,RecipeNotes!$A$2:$E$62,3,FALSE)</f>
        <v>Shortcut recipe: Mash ingredients with a fork or a blender. Shape patties in your hands and fry them on a pan with oil (5 minutes on each side).</v>
      </c>
      <c r="H137" t="str">
        <f>VLOOKUP($F137,RecipeNotes!$A$2:$E$62,5,FALSE)</f>
        <v>Shortcut opskrift: Blend ingredienser med en gaffel eller blender. Form bøfferne i dine hænder og steg dem (5-10 minutter per side).</v>
      </c>
      <c r="I137" t="s">
        <v>70</v>
      </c>
      <c r="J137" t="s">
        <v>71</v>
      </c>
      <c r="K137" t="s">
        <v>70</v>
      </c>
    </row>
    <row r="138" spans="1:11" x14ac:dyDescent="0.2">
      <c r="A138" t="s">
        <v>90</v>
      </c>
      <c r="B138">
        <v>222</v>
      </c>
      <c r="C138">
        <v>2218</v>
      </c>
      <c r="D138" t="str">
        <f>VLOOKUP(B138,[1]ManipulationPage!$A$3:$D$541,4,FALSE)</f>
        <v>Burger</v>
      </c>
      <c r="E138" t="s">
        <v>1386</v>
      </c>
      <c r="F138" t="str">
        <f>F137</f>
        <v>Burger pattys</v>
      </c>
      <c r="G138" t="str">
        <f>VLOOKUP($F138,RecipeNotes!$A$2:$E$62,3,FALSE)</f>
        <v>Shortcut recipe: Mash ingredients with a fork or a blender. Shape patties in your hands and fry them on a pan with oil (5 minutes on each side).</v>
      </c>
      <c r="H138" t="str">
        <f>VLOOKUP($F138,RecipeNotes!$A$2:$E$62,5,FALSE)</f>
        <v>Shortcut opskrift: Blend ingredienser med en gaffel eller blender. Form bøfferne i dine hænder og steg dem (5-10 minutter per side).</v>
      </c>
      <c r="I138" t="s">
        <v>91</v>
      </c>
      <c r="J138" t="s">
        <v>92</v>
      </c>
      <c r="K138" t="s">
        <v>93</v>
      </c>
    </row>
    <row r="139" spans="1:11" x14ac:dyDescent="0.2">
      <c r="A139" t="s">
        <v>111</v>
      </c>
      <c r="B139">
        <v>220</v>
      </c>
      <c r="C139">
        <v>2206</v>
      </c>
      <c r="D139" t="str">
        <f>VLOOKUP(B139,[1]ManipulationPage!$A$3:$D$541,4,FALSE)</f>
        <v>Burger</v>
      </c>
      <c r="E139" t="s">
        <v>1386</v>
      </c>
      <c r="F139" t="str">
        <f t="shared" ref="F139:F142" si="0">F138</f>
        <v>Burger pattys</v>
      </c>
      <c r="G139" t="str">
        <f>VLOOKUP($F139,RecipeNotes!$A$2:$E$62,3,FALSE)</f>
        <v>Shortcut recipe: Mash ingredients with a fork or a blender. Shape patties in your hands and fry them on a pan with oil (5 minutes on each side).</v>
      </c>
      <c r="H139" t="str">
        <f>VLOOKUP($F139,RecipeNotes!$A$2:$E$62,5,FALSE)</f>
        <v>Shortcut opskrift: Blend ingredienser med en gaffel eller blender. Form bøfferne i dine hænder og steg dem (5-10 minutter per side).</v>
      </c>
      <c r="I139" t="s">
        <v>91</v>
      </c>
      <c r="J139" t="s">
        <v>92</v>
      </c>
      <c r="K139" t="s">
        <v>93</v>
      </c>
    </row>
    <row r="140" spans="1:11" x14ac:dyDescent="0.2">
      <c r="A140" t="s">
        <v>225</v>
      </c>
      <c r="B140">
        <v>221</v>
      </c>
      <c r="C140">
        <v>2212</v>
      </c>
      <c r="D140" t="str">
        <f>VLOOKUP(B140,[1]ManipulationPage!$A$3:$D$541,4,FALSE)</f>
        <v>Burger</v>
      </c>
      <c r="E140" t="s">
        <v>1386</v>
      </c>
      <c r="F140" t="str">
        <f t="shared" si="0"/>
        <v>Burger pattys</v>
      </c>
      <c r="G140" t="str">
        <f>VLOOKUP($F140,RecipeNotes!$A$2:$E$62,3,FALSE)</f>
        <v>Shortcut recipe: Mash ingredients with a fork or a blender. Shape patties in your hands and fry them on a pan with oil (5 minutes on each side).</v>
      </c>
      <c r="H140" t="str">
        <f>VLOOKUP($F140,RecipeNotes!$A$2:$E$62,5,FALSE)</f>
        <v>Shortcut opskrift: Blend ingredienser med en gaffel eller blender. Form bøfferne i dine hænder og steg dem (5-10 minutter per side).</v>
      </c>
      <c r="I140" t="s">
        <v>91</v>
      </c>
      <c r="J140" t="s">
        <v>92</v>
      </c>
      <c r="K140" t="s">
        <v>93</v>
      </c>
    </row>
    <row r="141" spans="1:11" x14ac:dyDescent="0.2">
      <c r="A141" t="s">
        <v>431</v>
      </c>
      <c r="B141">
        <v>1097</v>
      </c>
      <c r="C141">
        <v>9513</v>
      </c>
      <c r="D141" t="str">
        <f>VLOOKUP(B141,[1]ManipulationPage!$A$3:$D$541,4,FALSE)</f>
        <v>Burger</v>
      </c>
      <c r="E141" t="s">
        <v>1386</v>
      </c>
      <c r="F141" t="str">
        <f t="shared" si="0"/>
        <v>Burger pattys</v>
      </c>
      <c r="G141" t="str">
        <f>VLOOKUP($F141,RecipeNotes!$A$2:$E$62,3,FALSE)</f>
        <v>Shortcut recipe: Mash ingredients with a fork or a blender. Shape patties in your hands and fry them on a pan with oil (5 minutes on each side).</v>
      </c>
      <c r="H141" t="str">
        <f>VLOOKUP($F141,RecipeNotes!$A$2:$E$62,5,FALSE)</f>
        <v>Shortcut opskrift: Blend ingredienser med en gaffel eller blender. Form bøfferne i dine hænder og steg dem (5-10 minutter per side).</v>
      </c>
      <c r="I141" t="s">
        <v>70</v>
      </c>
      <c r="J141" t="s">
        <v>71</v>
      </c>
      <c r="K141" t="s">
        <v>70</v>
      </c>
    </row>
    <row r="142" spans="1:11" x14ac:dyDescent="0.2">
      <c r="A142" t="s">
        <v>505</v>
      </c>
      <c r="B142">
        <v>226</v>
      </c>
      <c r="C142">
        <v>2234</v>
      </c>
      <c r="D142" t="str">
        <f>VLOOKUP(B142,[1]ManipulationPage!$A$3:$D$541,4,FALSE)</f>
        <v>Burger</v>
      </c>
      <c r="E142" t="s">
        <v>1386</v>
      </c>
      <c r="F142" t="str">
        <f t="shared" si="0"/>
        <v>Burger pattys</v>
      </c>
      <c r="G142" t="str">
        <f>VLOOKUP($F142,RecipeNotes!$A$2:$E$62,3,FALSE)</f>
        <v>Shortcut recipe: Mash ingredients with a fork or a blender. Shape patties in your hands and fry them on a pan with oil (5 minutes on each side).</v>
      </c>
      <c r="H142" t="str">
        <f>VLOOKUP($F142,RecipeNotes!$A$2:$E$62,5,FALSE)</f>
        <v>Shortcut opskrift: Blend ingredienser med en gaffel eller blender. Form bøfferne i dine hænder og steg dem (5-10 minutter per side).</v>
      </c>
      <c r="I142" t="s">
        <v>91</v>
      </c>
      <c r="J142" t="s">
        <v>92</v>
      </c>
      <c r="K142" t="s">
        <v>93</v>
      </c>
    </row>
    <row r="143" spans="1:11" x14ac:dyDescent="0.2">
      <c r="A143" t="s">
        <v>644</v>
      </c>
      <c r="B143">
        <v>332</v>
      </c>
      <c r="C143">
        <v>2766</v>
      </c>
      <c r="D143" t="str">
        <f>VLOOKUP(B143,[1]ManipulationPage!$A$3:$D$541,4,FALSE)</f>
        <v>Burger</v>
      </c>
      <c r="G143" t="e">
        <f>VLOOKUP($F143,RecipeNotes!$A$2:$E$62,3,FALSE)</f>
        <v>#N/A</v>
      </c>
      <c r="H143" t="e">
        <f>VLOOKUP($F143,RecipeNotes!$A$2:$E$62,5,FALSE)</f>
        <v>#N/A</v>
      </c>
      <c r="I143" t="s">
        <v>645</v>
      </c>
      <c r="J143" t="s">
        <v>645</v>
      </c>
      <c r="K143" t="s">
        <v>645</v>
      </c>
    </row>
    <row r="144" spans="1:11" x14ac:dyDescent="0.2">
      <c r="A144" t="s">
        <v>653</v>
      </c>
      <c r="B144">
        <v>67</v>
      </c>
      <c r="C144">
        <v>1333</v>
      </c>
      <c r="D144" t="str">
        <f>VLOOKUP(B144,[1]ManipulationPage!$A$3:$D$541,4,FALSE)</f>
        <v>Burger</v>
      </c>
      <c r="E144" t="s">
        <v>1386</v>
      </c>
      <c r="F144" t="s">
        <v>1645</v>
      </c>
      <c r="G144" t="str">
        <f>VLOOKUP($F144,RecipeNotes!$A$2:$E$62,3,FALSE)</f>
        <v>Shortcut recipe: Grate ingredients and mix them with salt, flour, and eggs. Shape patties in your hands and fry them on a pan with oil (5 minutes on each side).</v>
      </c>
      <c r="H144" t="str">
        <f>VLOOKUP($F144,RecipeNotes!$A$2:$E$62,5,FALSE)</f>
        <v>Shortcut opskrift: Riv ingredienser og bland med salt, mel og æg. Form bøfferne i dine hænder og steg dem (5 minutter per side).</v>
      </c>
      <c r="I144" t="s">
        <v>91</v>
      </c>
      <c r="J144" t="s">
        <v>92</v>
      </c>
      <c r="K144" t="s">
        <v>93</v>
      </c>
    </row>
    <row r="145" spans="1:13" x14ac:dyDescent="0.2">
      <c r="A145" t="s">
        <v>800</v>
      </c>
      <c r="B145">
        <v>225</v>
      </c>
      <c r="C145">
        <v>2230</v>
      </c>
      <c r="D145" t="str">
        <f>VLOOKUP(B145,[1]ManipulationPage!$A$3:$D$541,4,FALSE)</f>
        <v>Burger</v>
      </c>
      <c r="E145" t="s">
        <v>1386</v>
      </c>
      <c r="F145" t="str">
        <f>F137</f>
        <v>Burger pattys</v>
      </c>
      <c r="G145" t="str">
        <f>VLOOKUP($F145,RecipeNotes!$A$2:$E$62,3,FALSE)</f>
        <v>Shortcut recipe: Mash ingredients with a fork or a blender. Shape patties in your hands and fry them on a pan with oil (5 minutes on each side).</v>
      </c>
      <c r="H145" t="str">
        <f>VLOOKUP($F145,RecipeNotes!$A$2:$E$62,5,FALSE)</f>
        <v>Shortcut opskrift: Blend ingredienser med en gaffel eller blender. Form bøfferne i dine hænder og steg dem (5-10 minutter per side).</v>
      </c>
      <c r="I145" t="s">
        <v>91</v>
      </c>
      <c r="J145" t="s">
        <v>92</v>
      </c>
      <c r="K145" t="s">
        <v>93</v>
      </c>
    </row>
    <row r="146" spans="1:13" x14ac:dyDescent="0.2">
      <c r="A146" t="s">
        <v>859</v>
      </c>
      <c r="B146">
        <v>1047</v>
      </c>
      <c r="C146">
        <v>6738</v>
      </c>
      <c r="D146" t="str">
        <f>VLOOKUP(B146,[1]ManipulationPage!$A$3:$D$541,4,FALSE)</f>
        <v>Burger</v>
      </c>
      <c r="E146" t="s">
        <v>1386</v>
      </c>
      <c r="F146" t="str">
        <f>F137</f>
        <v>Burger pattys</v>
      </c>
      <c r="G146" t="str">
        <f>VLOOKUP($F146,RecipeNotes!$A$2:$E$62,3,FALSE)</f>
        <v>Shortcut recipe: Mash ingredients with a fork or a blender. Shape patties in your hands and fry them on a pan with oil (5 minutes on each side).</v>
      </c>
      <c r="H146" t="str">
        <f>VLOOKUP($F146,RecipeNotes!$A$2:$E$62,5,FALSE)</f>
        <v>Shortcut opskrift: Blend ingredienser med en gaffel eller blender. Form bøfferne i dine hænder og steg dem (5-10 minutter per side).</v>
      </c>
      <c r="I146" t="s">
        <v>91</v>
      </c>
      <c r="J146" t="s">
        <v>92</v>
      </c>
      <c r="K146" t="s">
        <v>93</v>
      </c>
    </row>
    <row r="147" spans="1:13" x14ac:dyDescent="0.2">
      <c r="A147" t="s">
        <v>40</v>
      </c>
      <c r="B147">
        <v>551</v>
      </c>
      <c r="D147" t="str">
        <f>VLOOKUP(B147,[1]ManipulationPage!$A$3:$D$541,4,FALSE)</f>
        <v>dip</v>
      </c>
      <c r="F147" t="s">
        <v>354</v>
      </c>
      <c r="G147" t="str">
        <f>VLOOKUP($F147,RecipeNotes!$A$2:$E$62,3,FALSE)</f>
        <v>Shortcut recipe: Cook then mash with a blender or fork. Taste and balance with salt, sugar, sour, and umami.</v>
      </c>
      <c r="H147" t="str">
        <f>VLOOKUP($F147,RecipeNotes!$A$2:$E$62,5,FALSE)</f>
        <v>Shortcut opskrift: Kog og blend derefter med en gaffel eller blender. Smag til med salt, sukker, syre og umami.</v>
      </c>
    </row>
    <row r="148" spans="1:13" x14ac:dyDescent="0.2">
      <c r="A148" t="s">
        <v>73</v>
      </c>
      <c r="B148">
        <v>139</v>
      </c>
      <c r="C148">
        <v>1725</v>
      </c>
      <c r="D148" t="str">
        <f>VLOOKUP(B148,[1]ManipulationPage!$A$3:$D$541,4,FALSE)</f>
        <v>dip</v>
      </c>
      <c r="E148" t="s">
        <v>1386</v>
      </c>
      <c r="F148" t="s">
        <v>354</v>
      </c>
      <c r="G148" t="str">
        <f>VLOOKUP($F148,RecipeNotes!$A$2:$E$62,3,FALSE)</f>
        <v>Shortcut recipe: Cook then mash with a blender or fork. Taste and balance with salt, sugar, sour, and umami.</v>
      </c>
      <c r="H148" t="str">
        <f>VLOOKUP($F148,RecipeNotes!$A$2:$E$62,5,FALSE)</f>
        <v>Shortcut opskrift: Kog og blend derefter med en gaffel eller blender. Smag til med salt, sukker, syre og umami.</v>
      </c>
      <c r="I148" t="s">
        <v>74</v>
      </c>
      <c r="J148" t="s">
        <v>75</v>
      </c>
      <c r="K148" t="s">
        <v>76</v>
      </c>
    </row>
    <row r="149" spans="1:13" x14ac:dyDescent="0.2">
      <c r="A149" t="s">
        <v>86</v>
      </c>
      <c r="B149">
        <v>166</v>
      </c>
      <c r="C149">
        <v>1877</v>
      </c>
      <c r="D149" t="str">
        <f>VLOOKUP(B149,[1]ManipulationPage!$A$3:$D$541,4,FALSE)</f>
        <v>dip</v>
      </c>
      <c r="F149" t="s">
        <v>354</v>
      </c>
      <c r="G149" t="str">
        <f>VLOOKUP($F149,RecipeNotes!$A$2:$E$62,3,FALSE)</f>
        <v>Shortcut recipe: Cook then mash with a blender or fork. Taste and balance with salt, sugar, sour, and umami.</v>
      </c>
      <c r="H149" t="str">
        <f>VLOOKUP($F149,RecipeNotes!$A$2:$E$62,5,FALSE)</f>
        <v>Shortcut opskrift: Kog og blend derefter med en gaffel eller blender. Smag til med salt, sukker, syre og umami.</v>
      </c>
      <c r="I149" t="s">
        <v>87</v>
      </c>
      <c r="J149" t="s">
        <v>88</v>
      </c>
      <c r="K149" t="s">
        <v>89</v>
      </c>
    </row>
    <row r="150" spans="1:13" x14ac:dyDescent="0.2">
      <c r="A150" t="s">
        <v>110</v>
      </c>
      <c r="B150">
        <v>105</v>
      </c>
      <c r="C150">
        <v>1509</v>
      </c>
      <c r="D150" t="str">
        <f>VLOOKUP(B150,[1]ManipulationPage!$A$3:$D$541,4,FALSE)</f>
        <v>dip</v>
      </c>
      <c r="E150" t="s">
        <v>1386</v>
      </c>
      <c r="F150" t="s">
        <v>354</v>
      </c>
      <c r="G150" t="str">
        <f>VLOOKUP($F150,RecipeNotes!$A$2:$E$62,3,FALSE)</f>
        <v>Shortcut recipe: Cook then mash with a blender or fork. Taste and balance with salt, sugar, sour, and umami.</v>
      </c>
      <c r="H150" t="str">
        <f>VLOOKUP($F150,RecipeNotes!$A$2:$E$62,5,FALSE)</f>
        <v>Shortcut opskrift: Kog og blend derefter med en gaffel eller blender. Smag til med salt, sukker, syre og umami.</v>
      </c>
      <c r="I150" t="s">
        <v>74</v>
      </c>
      <c r="J150" t="s">
        <v>75</v>
      </c>
      <c r="K150" t="s">
        <v>76</v>
      </c>
    </row>
    <row r="151" spans="1:13" x14ac:dyDescent="0.2">
      <c r="A151" t="s">
        <v>162</v>
      </c>
      <c r="B151">
        <v>190</v>
      </c>
      <c r="C151">
        <v>2014</v>
      </c>
      <c r="D151" t="str">
        <f>VLOOKUP(B151,[1]ManipulationPage!$A$3:$D$541,4,FALSE)</f>
        <v>dip</v>
      </c>
      <c r="F151" t="s">
        <v>354</v>
      </c>
      <c r="G151" t="str">
        <f>VLOOKUP($F151,RecipeNotes!$A$2:$E$62,3,FALSE)</f>
        <v>Shortcut recipe: Cook then mash with a blender or fork. Taste and balance with salt, sugar, sour, and umami.</v>
      </c>
      <c r="H151" t="str">
        <f>VLOOKUP($F151,RecipeNotes!$A$2:$E$62,5,FALSE)</f>
        <v>Shortcut opskrift: Kog og blend derefter med en gaffel eller blender. Smag til med salt, sukker, syre og umami.</v>
      </c>
      <c r="I151" t="s">
        <v>79</v>
      </c>
      <c r="J151" t="s">
        <v>80</v>
      </c>
      <c r="K151" t="s">
        <v>81</v>
      </c>
    </row>
    <row r="152" spans="1:13" x14ac:dyDescent="0.2">
      <c r="A152" t="s">
        <v>190</v>
      </c>
      <c r="B152">
        <v>194</v>
      </c>
      <c r="C152">
        <v>2038</v>
      </c>
      <c r="D152" t="str">
        <f>VLOOKUP(B152,[1]ManipulationPage!$A$3:$D$541,4,FALSE)</f>
        <v>dip</v>
      </c>
      <c r="F152" t="s">
        <v>354</v>
      </c>
      <c r="G152" t="str">
        <f>VLOOKUP($F152,RecipeNotes!$A$2:$E$62,3,FALSE)</f>
        <v>Shortcut recipe: Cook then mash with a blender or fork. Taste and balance with salt, sugar, sour, and umami.</v>
      </c>
      <c r="H152" t="str">
        <f>VLOOKUP($F152,RecipeNotes!$A$2:$E$62,5,FALSE)</f>
        <v>Shortcut opskrift: Kog og blend derefter med en gaffel eller blender. Smag til med salt, sukker, syre og umami.</v>
      </c>
      <c r="I152" t="s">
        <v>79</v>
      </c>
      <c r="J152" t="s">
        <v>80</v>
      </c>
      <c r="K152" t="s">
        <v>81</v>
      </c>
    </row>
    <row r="153" spans="1:13" x14ac:dyDescent="0.2">
      <c r="A153" t="s">
        <v>209</v>
      </c>
      <c r="B153">
        <v>1091</v>
      </c>
      <c r="C153">
        <v>9253</v>
      </c>
      <c r="D153" t="str">
        <f>VLOOKUP(B153,[1]ManipulationPage!$A$3:$D$541,4,FALSE)</f>
        <v>dip</v>
      </c>
      <c r="F153" t="s">
        <v>354</v>
      </c>
      <c r="G153" t="str">
        <f>VLOOKUP($F153,RecipeNotes!$A$2:$E$62,3,FALSE)</f>
        <v>Shortcut recipe: Cook then mash with a blender or fork. Taste and balance with salt, sugar, sour, and umami.</v>
      </c>
      <c r="H153" t="str">
        <f>VLOOKUP($F153,RecipeNotes!$A$2:$E$62,5,FALSE)</f>
        <v>Shortcut opskrift: Kog og blend derefter med en gaffel eller blender. Smag til med salt, sukker, syre og umami.</v>
      </c>
    </row>
    <row r="154" spans="1:13" x14ac:dyDescent="0.2">
      <c r="A154" t="s">
        <v>258</v>
      </c>
      <c r="B154">
        <v>1039</v>
      </c>
      <c r="C154">
        <v>6330</v>
      </c>
      <c r="D154" t="str">
        <f>VLOOKUP(B154,[1]ManipulationPage!$A$3:$D$541,4,FALSE)</f>
        <v>dip</v>
      </c>
      <c r="G154" t="e">
        <f>VLOOKUP($F154,RecipeNotes!$A$2:$E$62,3,FALSE)</f>
        <v>#N/A</v>
      </c>
      <c r="H154" t="e">
        <f>VLOOKUP($F154,RecipeNotes!$A$2:$E$62,5,FALSE)</f>
        <v>#N/A</v>
      </c>
    </row>
    <row r="155" spans="1:13" x14ac:dyDescent="0.2">
      <c r="A155" t="s">
        <v>354</v>
      </c>
      <c r="B155">
        <v>93</v>
      </c>
      <c r="C155">
        <v>1429</v>
      </c>
      <c r="D155" t="str">
        <f>VLOOKUP(B155,[1]ManipulationPage!$A$3:$D$541,4,FALSE)</f>
        <v>dip</v>
      </c>
      <c r="E155" t="s">
        <v>1386</v>
      </c>
      <c r="F155" t="s">
        <v>354</v>
      </c>
      <c r="G155" t="str">
        <f>VLOOKUP($F155,RecipeNotes!$A$2:$E$62,3,FALSE)</f>
        <v>Shortcut recipe: Cook then mash with a blender or fork. Taste and balance with salt, sugar, sour, and umami.</v>
      </c>
      <c r="H155" t="str">
        <f>VLOOKUP($F155,RecipeNotes!$A$2:$E$62,5,FALSE)</f>
        <v>Shortcut opskrift: Kog og blend derefter med en gaffel eller blender. Smag til med salt, sukker, syre og umami.</v>
      </c>
      <c r="I155" t="s">
        <v>79</v>
      </c>
      <c r="J155" t="s">
        <v>80</v>
      </c>
      <c r="K155" t="s">
        <v>81</v>
      </c>
      <c r="L155" t="s">
        <v>355</v>
      </c>
      <c r="M155" t="s">
        <v>356</v>
      </c>
    </row>
    <row r="156" spans="1:13" x14ac:dyDescent="0.2">
      <c r="A156" t="s">
        <v>354</v>
      </c>
      <c r="B156">
        <v>1082</v>
      </c>
      <c r="C156">
        <v>8852</v>
      </c>
      <c r="D156" t="str">
        <f>VLOOKUP(B156,[1]ManipulationPage!$A$3:$D$541,4,FALSE)</f>
        <v>dip</v>
      </c>
      <c r="E156" t="s">
        <v>1386</v>
      </c>
      <c r="F156" t="s">
        <v>354</v>
      </c>
      <c r="G156" t="str">
        <f>VLOOKUP($F156,RecipeNotes!$A$2:$E$62,3,FALSE)</f>
        <v>Shortcut recipe: Cook then mash with a blender or fork. Taste and balance with salt, sugar, sour, and umami.</v>
      </c>
      <c r="H156" t="str">
        <f>VLOOKUP($F156,RecipeNotes!$A$2:$E$62,5,FALSE)</f>
        <v>Shortcut opskrift: Kog og blend derefter med en gaffel eller blender. Smag til med salt, sukker, syre og umami.</v>
      </c>
      <c r="I156" t="s">
        <v>79</v>
      </c>
      <c r="J156" t="s">
        <v>80</v>
      </c>
      <c r="K156" t="s">
        <v>81</v>
      </c>
      <c r="L156" t="s">
        <v>355</v>
      </c>
      <c r="M156" t="s">
        <v>356</v>
      </c>
    </row>
    <row r="157" spans="1:13" x14ac:dyDescent="0.2">
      <c r="A157" t="s">
        <v>520</v>
      </c>
      <c r="B157">
        <v>586</v>
      </c>
      <c r="D157" t="str">
        <f>VLOOKUP(B157,[1]ManipulationPage!$A$3:$D$541,4,FALSE)</f>
        <v>Dip</v>
      </c>
      <c r="G157" t="e">
        <f>VLOOKUP($F157,RecipeNotes!$A$2:$E$62,3,FALSE)</f>
        <v>#N/A</v>
      </c>
      <c r="H157" t="e">
        <f>VLOOKUP($F157,RecipeNotes!$A$2:$E$62,5,FALSE)</f>
        <v>#N/A</v>
      </c>
    </row>
    <row r="158" spans="1:13" x14ac:dyDescent="0.2">
      <c r="A158" t="s">
        <v>520</v>
      </c>
      <c r="B158">
        <v>596</v>
      </c>
      <c r="D158" t="str">
        <f>VLOOKUP(B158,[1]ManipulationPage!$A$3:$D$541,4,FALSE)</f>
        <v>Dip</v>
      </c>
      <c r="G158" t="e">
        <f>VLOOKUP($F158,RecipeNotes!$A$2:$E$62,3,FALSE)</f>
        <v>#N/A</v>
      </c>
      <c r="H158" t="e">
        <f>VLOOKUP($F158,RecipeNotes!$A$2:$E$62,5,FALSE)</f>
        <v>#N/A</v>
      </c>
    </row>
    <row r="159" spans="1:13" x14ac:dyDescent="0.2">
      <c r="A159" t="s">
        <v>539</v>
      </c>
      <c r="B159">
        <v>1093</v>
      </c>
      <c r="C159">
        <v>9261</v>
      </c>
      <c r="D159" t="str">
        <f>VLOOKUP(B159,[1]ManipulationPage!$A$3:$D$541,4,FALSE)</f>
        <v>dip</v>
      </c>
      <c r="G159" t="e">
        <f>VLOOKUP($F159,RecipeNotes!$A$2:$E$62,3,FALSE)</f>
        <v>#N/A</v>
      </c>
      <c r="H159" t="e">
        <f>VLOOKUP($F159,RecipeNotes!$A$2:$E$62,5,FALSE)</f>
        <v>#N/A</v>
      </c>
    </row>
    <row r="160" spans="1:13" x14ac:dyDescent="0.2">
      <c r="A160" t="s">
        <v>690</v>
      </c>
      <c r="B160">
        <v>44</v>
      </c>
      <c r="C160">
        <v>1209</v>
      </c>
      <c r="D160" t="str">
        <f>VLOOKUP(B160,[1]ManipulationPage!$A$3:$D$541,4,FALSE)</f>
        <v>dip</v>
      </c>
      <c r="E160" t="s">
        <v>1386</v>
      </c>
      <c r="F160" t="s">
        <v>354</v>
      </c>
      <c r="G160" t="str">
        <f>VLOOKUP($F160,RecipeNotes!$A$2:$E$62,3,FALSE)</f>
        <v>Shortcut recipe: Cook then mash with a blender or fork. Taste and balance with salt, sugar, sour, and umami.</v>
      </c>
      <c r="H160" t="str">
        <f>VLOOKUP($F160,RecipeNotes!$A$2:$E$62,5,FALSE)</f>
        <v>Shortcut opskrift: Kog og blend derefter med en gaffel eller blender. Smag til med salt, sukker, syre og umami.</v>
      </c>
      <c r="I160" t="s">
        <v>74</v>
      </c>
      <c r="J160" t="s">
        <v>75</v>
      </c>
      <c r="K160" t="s">
        <v>76</v>
      </c>
    </row>
    <row r="161" spans="1:13" x14ac:dyDescent="0.2">
      <c r="A161" t="s">
        <v>691</v>
      </c>
      <c r="B161">
        <v>138</v>
      </c>
      <c r="C161">
        <v>1719</v>
      </c>
      <c r="D161" t="str">
        <f>VLOOKUP(B161,[1]ManipulationPage!$A$3:$D$541,4,FALSE)</f>
        <v>dip</v>
      </c>
      <c r="E161" t="s">
        <v>1386</v>
      </c>
      <c r="F161" t="s">
        <v>354</v>
      </c>
      <c r="G161" t="str">
        <f>VLOOKUP($F161,RecipeNotes!$A$2:$E$62,3,FALSE)</f>
        <v>Shortcut recipe: Cook then mash with a blender or fork. Taste and balance with salt, sugar, sour, and umami.</v>
      </c>
      <c r="H161" t="str">
        <f>VLOOKUP($F161,RecipeNotes!$A$2:$E$62,5,FALSE)</f>
        <v>Shortcut opskrift: Kog og blend derefter med en gaffel eller blender. Smag til med salt, sukker, syre og umami.</v>
      </c>
      <c r="I161" t="s">
        <v>74</v>
      </c>
      <c r="J161" t="s">
        <v>75</v>
      </c>
      <c r="K161" t="s">
        <v>76</v>
      </c>
    </row>
    <row r="162" spans="1:13" x14ac:dyDescent="0.2">
      <c r="A162" t="s">
        <v>760</v>
      </c>
      <c r="B162">
        <v>146</v>
      </c>
      <c r="C162">
        <v>1781</v>
      </c>
      <c r="D162" t="str">
        <f>VLOOKUP(B162,[1]ManipulationPage!$A$3:$D$541,4,FALSE)</f>
        <v>dip</v>
      </c>
      <c r="G162" t="e">
        <f>VLOOKUP($F162,RecipeNotes!$A$2:$E$62,3,FALSE)</f>
        <v>#N/A</v>
      </c>
      <c r="H162" t="e">
        <f>VLOOKUP($F162,RecipeNotes!$A$2:$E$62,5,FALSE)</f>
        <v>#N/A</v>
      </c>
      <c r="I162" t="s">
        <v>761</v>
      </c>
      <c r="J162" t="s">
        <v>762</v>
      </c>
      <c r="K162" t="s">
        <v>763</v>
      </c>
    </row>
    <row r="163" spans="1:13" x14ac:dyDescent="0.2">
      <c r="A163" t="s">
        <v>860</v>
      </c>
      <c r="B163">
        <v>147</v>
      </c>
      <c r="C163">
        <v>1789</v>
      </c>
      <c r="D163" t="str">
        <f>VLOOKUP(B163,[1]ManipulationPage!$A$3:$D$541,4,FALSE)</f>
        <v>dip</v>
      </c>
      <c r="G163" t="e">
        <f>VLOOKUP($F163,RecipeNotes!$A$2:$E$62,3,FALSE)</f>
        <v>#N/A</v>
      </c>
      <c r="H163" t="e">
        <f>VLOOKUP($F163,RecipeNotes!$A$2:$E$62,5,FALSE)</f>
        <v>#N/A</v>
      </c>
      <c r="I163" t="s">
        <v>761</v>
      </c>
      <c r="J163" t="s">
        <v>762</v>
      </c>
      <c r="K163" t="s">
        <v>763</v>
      </c>
    </row>
    <row r="164" spans="1:13" x14ac:dyDescent="0.2">
      <c r="A164" t="s">
        <v>740</v>
      </c>
      <c r="B164">
        <v>72</v>
      </c>
      <c r="C164">
        <v>1359</v>
      </c>
      <c r="D164" t="str">
        <f>VLOOKUP(B164,[1]ManipulationPage!$A$3:$D$541,4,FALSE)</f>
        <v>drinks</v>
      </c>
      <c r="G164" t="e">
        <f>VLOOKUP($F164,RecipeNotes!$A$2:$E$62,3,FALSE)</f>
        <v>#N/A</v>
      </c>
      <c r="H164" t="e">
        <f>VLOOKUP($F164,RecipeNotes!$A$2:$E$62,5,FALSE)</f>
        <v>#N/A</v>
      </c>
      <c r="I164" t="s">
        <v>34</v>
      </c>
      <c r="J164" t="s">
        <v>35</v>
      </c>
      <c r="K164" t="s">
        <v>36</v>
      </c>
      <c r="M164" t="s">
        <v>741</v>
      </c>
    </row>
    <row r="165" spans="1:13" x14ac:dyDescent="0.2">
      <c r="A165" t="s">
        <v>877</v>
      </c>
      <c r="B165">
        <v>219</v>
      </c>
      <c r="C165">
        <v>2198</v>
      </c>
      <c r="D165" t="str">
        <f>VLOOKUP(B165,[1]ManipulationPage!$A$3:$D$541,4,FALSE)</f>
        <v>drinks</v>
      </c>
      <c r="G165" t="e">
        <f>VLOOKUP($F165,RecipeNotes!$A$2:$E$62,3,FALSE)</f>
        <v>#N/A</v>
      </c>
      <c r="H165" t="e">
        <f>VLOOKUP($F165,RecipeNotes!$A$2:$E$62,5,FALSE)</f>
        <v>#N/A</v>
      </c>
      <c r="I165" t="s">
        <v>34</v>
      </c>
      <c r="J165" t="s">
        <v>35</v>
      </c>
      <c r="K165" t="s">
        <v>36</v>
      </c>
    </row>
    <row r="166" spans="1:13" x14ac:dyDescent="0.2">
      <c r="A166" t="s">
        <v>95</v>
      </c>
      <c r="B166">
        <v>585</v>
      </c>
      <c r="D166" t="str">
        <f>VLOOKUP(B166,[1]ManipulationPage!$A$3:$D$541,4,FALSE)</f>
        <v>France</v>
      </c>
      <c r="G166" t="e">
        <f>VLOOKUP($F166,RecipeNotes!$A$2:$E$62,3,FALSE)</f>
        <v>#N/A</v>
      </c>
      <c r="H166" t="e">
        <f>VLOOKUP($F166,RecipeNotes!$A$2:$E$62,5,FALSE)</f>
        <v>#N/A</v>
      </c>
    </row>
    <row r="167" spans="1:13" x14ac:dyDescent="0.2">
      <c r="A167" t="s">
        <v>293</v>
      </c>
      <c r="B167">
        <v>573</v>
      </c>
      <c r="D167" t="str">
        <f>VLOOKUP(B167,[1]ManipulationPage!$A$3:$D$541,4,FALSE)</f>
        <v>France</v>
      </c>
      <c r="G167" t="e">
        <f>VLOOKUP($F167,RecipeNotes!$A$2:$E$62,3,FALSE)</f>
        <v>#N/A</v>
      </c>
      <c r="H167" t="e">
        <f>VLOOKUP($F167,RecipeNotes!$A$2:$E$62,5,FALSE)</f>
        <v>#N/A</v>
      </c>
    </row>
    <row r="168" spans="1:13" x14ac:dyDescent="0.2">
      <c r="A168" t="s">
        <v>376</v>
      </c>
      <c r="B168">
        <v>366</v>
      </c>
      <c r="C168">
        <v>2868</v>
      </c>
      <c r="D168" t="str">
        <f>VLOOKUP(B168,[1]ManipulationPage!$A$3:$D$541,4,FALSE)</f>
        <v>France</v>
      </c>
      <c r="E168" t="s">
        <v>1386</v>
      </c>
      <c r="F168" t="s">
        <v>1547</v>
      </c>
      <c r="G168" t="str">
        <f>VLOOKUP($F168,RecipeNotes!$A$2:$E$62,3,FALSE)</f>
        <v xml:space="preserve">Shortcut recipe: Fry onions and spices on a pan. Add veggies. Add water with stock/broth. Taste and balance with salt, sugar, sour, and umami.  </v>
      </c>
      <c r="H168" t="str">
        <f>VLOOKUP($F168,RecipeNotes!$A$2:$E$62,5,FALSE)</f>
        <v xml:space="preserve">Shortcut opskrift: Steg løg og krydderier på panden. Tilføj grøntsager Til føj vand med buillon. Smag til med salt, sukker, syre og umami.  </v>
      </c>
      <c r="I168" t="s">
        <v>377</v>
      </c>
    </row>
    <row r="169" spans="1:13" x14ac:dyDescent="0.2">
      <c r="A169" t="s">
        <v>378</v>
      </c>
      <c r="B169">
        <v>1155</v>
      </c>
      <c r="C169">
        <v>10171</v>
      </c>
      <c r="D169" t="str">
        <f>VLOOKUP(B169,[1]ManipulationPage!$A$3:$D$541,4,FALSE)</f>
        <v>France</v>
      </c>
      <c r="E169" t="s">
        <v>1386</v>
      </c>
      <c r="F169" t="s">
        <v>1547</v>
      </c>
      <c r="G169" t="str">
        <f>VLOOKUP($F169,RecipeNotes!$A$2:$E$62,3,FALSE)</f>
        <v xml:space="preserve">Shortcut recipe: Fry onions and spices on a pan. Add veggies. Add water with stock/broth. Taste and balance with salt, sugar, sour, and umami.  </v>
      </c>
      <c r="H169" t="str">
        <f>VLOOKUP($F169,RecipeNotes!$A$2:$E$62,5,FALSE)</f>
        <v xml:space="preserve">Shortcut opskrift: Steg løg og krydderier på panden. Tilføj grøntsager Til føj vand med buillon. Smag til med salt, sukker, syre og umami.  </v>
      </c>
    </row>
    <row r="170" spans="1:13" x14ac:dyDescent="0.2">
      <c r="A170" t="s">
        <v>526</v>
      </c>
      <c r="B170">
        <v>33</v>
      </c>
      <c r="C170">
        <v>1145</v>
      </c>
      <c r="D170" t="str">
        <f>VLOOKUP(B170,[1]ManipulationPage!$A$3:$D$541,4,FALSE)</f>
        <v>France</v>
      </c>
      <c r="E170" t="s">
        <v>1386</v>
      </c>
      <c r="F170" t="s">
        <v>576</v>
      </c>
      <c r="G170" t="str">
        <f>VLOOKUP($F170,RecipeNotes!$A$2:$E$62,3,FALSE)</f>
        <v>Shortcut recipe: Fry onions and spices on a pan. Whisk eggs well with salt, then add to pan. Omelette is done when egg isn't runny.</v>
      </c>
      <c r="H170" t="str">
        <f>VLOOKUP($F170,RecipeNotes!$A$2:$E$62,5,FALSE)</f>
        <v>Shortcut opskrift: Steg løg og krydderier på panden. Bland æg grundigt med salt og andre smags-ingredienser. Tilføj så til panden. Omeletten er klar, når ægget ikke løber længere.</v>
      </c>
      <c r="I170" t="s">
        <v>527</v>
      </c>
      <c r="J170" t="s">
        <v>528</v>
      </c>
      <c r="K170" t="s">
        <v>529</v>
      </c>
    </row>
    <row r="171" spans="1:13" x14ac:dyDescent="0.2">
      <c r="A171" t="s">
        <v>530</v>
      </c>
      <c r="B171">
        <v>19</v>
      </c>
      <c r="C171">
        <v>1077</v>
      </c>
      <c r="D171" t="str">
        <f>VLOOKUP(B171,[1]ManipulationPage!$A$3:$D$541,4,FALSE)</f>
        <v>France</v>
      </c>
      <c r="G171" t="e">
        <f>VLOOKUP($F171,RecipeNotes!$A$2:$E$62,3,FALSE)</f>
        <v>#N/A</v>
      </c>
      <c r="H171" t="e">
        <f>VLOOKUP($F171,RecipeNotes!$A$2:$E$62,5,FALSE)</f>
        <v>#N/A</v>
      </c>
      <c r="I171" t="s">
        <v>276</v>
      </c>
      <c r="J171" t="s">
        <v>277</v>
      </c>
      <c r="K171" t="s">
        <v>276</v>
      </c>
    </row>
    <row r="172" spans="1:13" x14ac:dyDescent="0.2">
      <c r="A172" t="s">
        <v>662</v>
      </c>
      <c r="B172">
        <v>12</v>
      </c>
      <c r="C172">
        <v>1025</v>
      </c>
      <c r="D172" t="str">
        <f>VLOOKUP(B172,[1]ManipulationPage!$A$3:$D$541,4,FALSE)</f>
        <v>France</v>
      </c>
      <c r="E172">
        <v>2</v>
      </c>
      <c r="F172" t="s">
        <v>662</v>
      </c>
      <c r="G172" t="str">
        <f>VLOOKUP($F172,RecipeNotes!$A$2:$E$62,3,FALSE)</f>
        <v>Shortcut recipe: You can both fry the veggies with onions and spices in the oven (25 minutes, 180 degrees) or the frying pan (15 minutes)</v>
      </c>
      <c r="H172" t="str">
        <f>VLOOKUP($F172,RecipeNotes!$A$2:$E$62,5,FALSE)</f>
        <v>Shortcut opskrift: Du kan både stege ingredienserne (15 minutter) eller bage dem i ovnen (25 minutter).</v>
      </c>
      <c r="I172" t="s">
        <v>663</v>
      </c>
      <c r="J172" t="s">
        <v>664</v>
      </c>
      <c r="K172" t="s">
        <v>665</v>
      </c>
    </row>
    <row r="173" spans="1:13" x14ac:dyDescent="0.2">
      <c r="A173" t="s">
        <v>693</v>
      </c>
      <c r="B173">
        <v>39</v>
      </c>
      <c r="C173">
        <v>1189</v>
      </c>
      <c r="D173" t="str">
        <f>VLOOKUP(B173,[1]ManipulationPage!$A$3:$D$541,4,FALSE)</f>
        <v>France</v>
      </c>
      <c r="E173" t="s">
        <v>1386</v>
      </c>
      <c r="F173" t="s">
        <v>651</v>
      </c>
      <c r="G173" t="str">
        <f>VLOOKUP($F173,RecipeNotes!$A$2:$E$62,3,FALSE)</f>
        <v>Shortcut recipe: Add your ingredients into a pie crust, then pour a whisked egg mixture on top. Bake for 30+ minutes (180 degrees).</v>
      </c>
      <c r="H173" t="str">
        <f>VLOOKUP($F173,RecipeNotes!$A$2:$E$62,5,FALSE)</f>
        <v>Shortcut opskrift: Tilføj dine ingredineser i din tærtedej. Hæld et rørt æg ind i blandingen. Bag i ovnen i +30 minutter ved 180 grader.</v>
      </c>
      <c r="I173" t="s">
        <v>177</v>
      </c>
      <c r="J173" t="s">
        <v>178</v>
      </c>
      <c r="K173" t="s">
        <v>179</v>
      </c>
    </row>
    <row r="174" spans="1:13" x14ac:dyDescent="0.2">
      <c r="A174" t="s">
        <v>82</v>
      </c>
      <c r="B174">
        <v>237</v>
      </c>
      <c r="C174">
        <v>2300</v>
      </c>
      <c r="D174" t="str">
        <f>VLOOKUP(B174,[1]ManipulationPage!$A$3:$D$541,4,FALSE)</f>
        <v>Fries</v>
      </c>
      <c r="G174" t="e">
        <f>VLOOKUP($F174,RecipeNotes!$A$2:$E$62,3,FALSE)</f>
        <v>#N/A</v>
      </c>
      <c r="H174" t="e">
        <f>VLOOKUP($F174,RecipeNotes!$A$2:$E$62,5,FALSE)</f>
        <v>#N/A</v>
      </c>
      <c r="I174" t="s">
        <v>83</v>
      </c>
      <c r="J174" t="s">
        <v>84</v>
      </c>
      <c r="K174" t="s">
        <v>85</v>
      </c>
    </row>
    <row r="175" spans="1:13" x14ac:dyDescent="0.2">
      <c r="A175" t="s">
        <v>475</v>
      </c>
      <c r="B175">
        <v>41</v>
      </c>
      <c r="C175">
        <v>1203</v>
      </c>
      <c r="D175" t="str">
        <f>VLOOKUP(B175,[1]ManipulationPage!$A$3:$D$541,4,FALSE)</f>
        <v>Fries</v>
      </c>
      <c r="G175" t="e">
        <f>VLOOKUP($F175,RecipeNotes!$A$2:$E$62,3,FALSE)</f>
        <v>#N/A</v>
      </c>
      <c r="H175" t="e">
        <f>VLOOKUP($F175,RecipeNotes!$A$2:$E$62,5,FALSE)</f>
        <v>#N/A</v>
      </c>
      <c r="I175" t="s">
        <v>476</v>
      </c>
      <c r="J175" t="s">
        <v>476</v>
      </c>
      <c r="K175" t="s">
        <v>477</v>
      </c>
    </row>
    <row r="176" spans="1:13" x14ac:dyDescent="0.2">
      <c r="A176" t="s">
        <v>602</v>
      </c>
      <c r="B176">
        <v>236</v>
      </c>
      <c r="C176">
        <v>2294</v>
      </c>
      <c r="D176" t="str">
        <f>VLOOKUP(B176,[1]ManipulationPage!$A$3:$D$541,4,FALSE)</f>
        <v>Fries</v>
      </c>
      <c r="G176" t="e">
        <f>VLOOKUP($F176,RecipeNotes!$A$2:$E$62,3,FALSE)</f>
        <v>#N/A</v>
      </c>
      <c r="H176" t="e">
        <f>VLOOKUP($F176,RecipeNotes!$A$2:$E$62,5,FALSE)</f>
        <v>#N/A</v>
      </c>
      <c r="I176" t="s">
        <v>83</v>
      </c>
      <c r="J176" t="s">
        <v>84</v>
      </c>
      <c r="K176" t="s">
        <v>85</v>
      </c>
    </row>
    <row r="177" spans="1:13" x14ac:dyDescent="0.2">
      <c r="A177" t="s">
        <v>798</v>
      </c>
      <c r="B177">
        <v>235</v>
      </c>
      <c r="C177">
        <v>2288</v>
      </c>
      <c r="D177" t="str">
        <f>VLOOKUP(B177,[1]ManipulationPage!$A$3:$D$541,4,FALSE)</f>
        <v>Fries</v>
      </c>
      <c r="G177" t="e">
        <f>VLOOKUP($F177,RecipeNotes!$A$2:$E$62,3,FALSE)</f>
        <v>#N/A</v>
      </c>
      <c r="H177" t="e">
        <f>VLOOKUP($F177,RecipeNotes!$A$2:$E$62,5,FALSE)</f>
        <v>#N/A</v>
      </c>
      <c r="I177" t="s">
        <v>799</v>
      </c>
      <c r="J177" t="s">
        <v>799</v>
      </c>
      <c r="K177" t="s">
        <v>799</v>
      </c>
    </row>
    <row r="178" spans="1:13" x14ac:dyDescent="0.2">
      <c r="A178" t="s">
        <v>879</v>
      </c>
      <c r="B178">
        <v>910</v>
      </c>
      <c r="C178">
        <v>4037</v>
      </c>
      <c r="D178" t="str">
        <f>VLOOKUP(B178,[1]ManipulationPage!$A$3:$D$541,4,FALSE)</f>
        <v>Fries</v>
      </c>
      <c r="G178" t="e">
        <f>VLOOKUP($F178,RecipeNotes!$A$2:$E$62,3,FALSE)</f>
        <v>#N/A</v>
      </c>
      <c r="H178" t="e">
        <f>VLOOKUP($F178,RecipeNotes!$A$2:$E$62,5,FALSE)</f>
        <v>#N/A</v>
      </c>
    </row>
    <row r="179" spans="1:13" x14ac:dyDescent="0.2">
      <c r="A179" t="s">
        <v>204</v>
      </c>
      <c r="B179">
        <v>301</v>
      </c>
      <c r="C179">
        <v>2674</v>
      </c>
      <c r="D179" t="str">
        <f>VLOOKUP(B179,[1]ManipulationPage!$A$3:$D$541,4,FALSE)</f>
        <v>India</v>
      </c>
      <c r="E179" t="s">
        <v>1386</v>
      </c>
      <c r="F179" t="s">
        <v>772</v>
      </c>
      <c r="G179" t="str">
        <f>VLOOKUP($F179,RecipeNotes!$A$2:$E$62,3,FALSE)</f>
        <v>Shortcut recipe: Fry onions and spices on a pan. Add veggies. Taste and balance with salt, sugar, sour, and umami.</v>
      </c>
      <c r="H179" t="str">
        <f>VLOOKUP($F179,RecipeNotes!$A$2:$E$62,5,FALSE)</f>
        <v>Shortcut opskrift: Steg løg og krydderier på panden. Tilføj grøntsager Smag til med salt, sukker, syre og umami.</v>
      </c>
      <c r="I179" t="s">
        <v>205</v>
      </c>
      <c r="J179" t="s">
        <v>206</v>
      </c>
      <c r="K179" t="s">
        <v>207</v>
      </c>
    </row>
    <row r="180" spans="1:13" x14ac:dyDescent="0.2">
      <c r="A180" t="s">
        <v>346</v>
      </c>
      <c r="B180">
        <v>30</v>
      </c>
      <c r="C180">
        <v>1127</v>
      </c>
      <c r="D180" t="str">
        <f>VLOOKUP(B180,[1]ManipulationPage!$A$3:$D$541,4,FALSE)</f>
        <v>India</v>
      </c>
      <c r="E180" t="s">
        <v>1386</v>
      </c>
      <c r="F180" t="s">
        <v>772</v>
      </c>
      <c r="G180" t="str">
        <f>VLOOKUP($F180,RecipeNotes!$A$2:$E$62,3,FALSE)</f>
        <v>Shortcut recipe: Fry onions and spices on a pan. Add veggies. Taste and balance with salt, sugar, sour, and umami.</v>
      </c>
      <c r="H180" t="str">
        <f>VLOOKUP($F180,RecipeNotes!$A$2:$E$62,5,FALSE)</f>
        <v>Shortcut opskrift: Steg løg og krydderier på panden. Tilføj grøntsager Smag til med salt, sukker, syre og umami.</v>
      </c>
      <c r="I180" t="s">
        <v>347</v>
      </c>
      <c r="J180" t="s">
        <v>348</v>
      </c>
      <c r="K180" t="s">
        <v>349</v>
      </c>
    </row>
    <row r="181" spans="1:13" x14ac:dyDescent="0.2">
      <c r="A181" t="s">
        <v>351</v>
      </c>
      <c r="B181">
        <v>18</v>
      </c>
      <c r="C181">
        <v>1071</v>
      </c>
      <c r="D181" t="str">
        <f>VLOOKUP(B181,[1]ManipulationPage!$A$3:$D$541,4,FALSE)</f>
        <v>India</v>
      </c>
      <c r="E181" t="s">
        <v>1386</v>
      </c>
      <c r="F181" t="s">
        <v>351</v>
      </c>
      <c r="G181" t="str">
        <f>VLOOKUP($F181,RecipeNotes!$A$2:$E$62,3,FALSE)</f>
        <v xml:space="preserve">Shortcut recipe: Fry onions and spices on a pan. Add lentils, then water with stock. Taste and balance with salt, sugar, sour, and umami.  </v>
      </c>
      <c r="H181" t="str">
        <f>VLOOKUP($F181,RecipeNotes!$A$2:$E$62,5,FALSE)</f>
        <v xml:space="preserve">Shortcut opskrift: Steg løg og krydderier på panden. Tilføj linser, dernæst vand med buillon. Smag til med salt, sukker, syre og umami.  </v>
      </c>
      <c r="I181" t="s">
        <v>299</v>
      </c>
      <c r="J181" t="s">
        <v>300</v>
      </c>
      <c r="K181" t="s">
        <v>301</v>
      </c>
    </row>
    <row r="182" spans="1:13" x14ac:dyDescent="0.2">
      <c r="A182" t="s">
        <v>456</v>
      </c>
      <c r="B182">
        <v>923</v>
      </c>
      <c r="D182" t="str">
        <f>VLOOKUP(B182,[1]ManipulationPage!$A$3:$D$541,4,FALSE)</f>
        <v>India</v>
      </c>
      <c r="E182" t="s">
        <v>1386</v>
      </c>
      <c r="F182" t="s">
        <v>604</v>
      </c>
      <c r="G182" t="str">
        <f>VLOOKUP($F182,RecipeNotes!$A$2:$E$62,3,FALSE)</f>
        <v>Shortcut recipe: Fry onions and spices on a pan. Mix with cooked pasta, including a cup of the pasta water (for creamy consistency).</v>
      </c>
      <c r="H182" t="str">
        <f>VLOOKUP($F182,RecipeNotes!$A$2:$E$62,5,FALSE)</f>
        <v>Shortcut opskrift: Steg løg og krydderier på panden. Ibland den kogte pasta med en kop pasta vand.</v>
      </c>
    </row>
    <row r="183" spans="1:13" x14ac:dyDescent="0.2">
      <c r="A183" t="s">
        <v>457</v>
      </c>
      <c r="B183">
        <v>103</v>
      </c>
      <c r="C183">
        <v>1495</v>
      </c>
      <c r="D183" t="str">
        <f>VLOOKUP(B183,[1]ManipulationPage!$A$3:$D$541,4,FALSE)</f>
        <v>India</v>
      </c>
      <c r="G183" t="e">
        <f>VLOOKUP($F183,RecipeNotes!$A$2:$E$62,3,FALSE)</f>
        <v>#N/A</v>
      </c>
      <c r="H183" t="e">
        <f>VLOOKUP($F183,RecipeNotes!$A$2:$E$62,5,FALSE)</f>
        <v>#N/A</v>
      </c>
      <c r="I183" t="s">
        <v>458</v>
      </c>
      <c r="J183" t="s">
        <v>459</v>
      </c>
      <c r="K183" t="s">
        <v>460</v>
      </c>
    </row>
    <row r="184" spans="1:13" x14ac:dyDescent="0.2">
      <c r="A184" t="s">
        <v>634</v>
      </c>
      <c r="B184">
        <v>167</v>
      </c>
      <c r="C184">
        <v>1881</v>
      </c>
      <c r="D184" t="str">
        <f>VLOOKUP(B184,[1]ManipulationPage!$A$3:$D$541,4,FALSE)</f>
        <v>India</v>
      </c>
      <c r="E184" t="s">
        <v>1386</v>
      </c>
      <c r="F184" t="s">
        <v>772</v>
      </c>
      <c r="G184" t="str">
        <f>VLOOKUP($F184,RecipeNotes!$A$2:$E$62,3,FALSE)</f>
        <v>Shortcut recipe: Fry onions and spices on a pan. Add veggies. Taste and balance with salt, sugar, sour, and umami.</v>
      </c>
      <c r="H184" t="str">
        <f>VLOOKUP($F184,RecipeNotes!$A$2:$E$62,5,FALSE)</f>
        <v>Shortcut opskrift: Steg løg og krydderier på panden. Tilføj grøntsager Smag til med salt, sukker, syre og umami.</v>
      </c>
      <c r="I184" t="s">
        <v>347</v>
      </c>
      <c r="J184" t="s">
        <v>348</v>
      </c>
      <c r="K184" t="s">
        <v>349</v>
      </c>
    </row>
    <row r="185" spans="1:13" x14ac:dyDescent="0.2">
      <c r="A185" t="s">
        <v>850</v>
      </c>
      <c r="B185">
        <v>17</v>
      </c>
      <c r="C185">
        <v>1061</v>
      </c>
      <c r="D185" t="str">
        <f>VLOOKUP(B185,[1]ManipulationPage!$A$3:$D$541,4,FALSE)</f>
        <v>India</v>
      </c>
      <c r="E185" t="s">
        <v>1386</v>
      </c>
      <c r="F185" t="s">
        <v>772</v>
      </c>
      <c r="G185" t="str">
        <f>VLOOKUP($F185,RecipeNotes!$A$2:$E$62,3,FALSE)</f>
        <v>Shortcut recipe: Fry onions and spices on a pan. Add veggies. Taste and balance with salt, sugar, sour, and umami.</v>
      </c>
      <c r="H185" t="str">
        <f>VLOOKUP($F185,RecipeNotes!$A$2:$E$62,5,FALSE)</f>
        <v>Shortcut opskrift: Steg løg og krydderier på panden. Tilføj grøntsager Smag til med salt, sukker, syre og umami.</v>
      </c>
      <c r="I185" t="s">
        <v>347</v>
      </c>
      <c r="J185" t="s">
        <v>348</v>
      </c>
      <c r="K185" t="s">
        <v>349</v>
      </c>
    </row>
    <row r="186" spans="1:13" x14ac:dyDescent="0.2">
      <c r="A186" t="s">
        <v>57</v>
      </c>
      <c r="B186">
        <v>974</v>
      </c>
      <c r="C186">
        <v>5205</v>
      </c>
      <c r="D186" t="str">
        <f>VLOOKUP(B186,[1]ManipulationPage!$A$3:$D$541,4,FALSE)</f>
        <v>Italy</v>
      </c>
      <c r="E186">
        <v>2</v>
      </c>
      <c r="F186" t="s">
        <v>582</v>
      </c>
      <c r="G186" t="str">
        <f>VLOOKUP($F186,RecipeNotes!$A$2:$E$62,3,FALSE)</f>
        <v>Shortcut recipe: Fry onions and spices on a pan. Add barley with a little wine, then add stock and boiling water gradually.</v>
      </c>
      <c r="H186" t="str">
        <f>VLOOKUP($F186,RecipeNotes!$A$2:$E$62,5,FALSE)</f>
        <v>Shortcut opskrift: Steg løg og krydderier på panden. Tilføj byg med en smule vin. Tilføj så buillon og vand langsomt.</v>
      </c>
      <c r="I186" t="s">
        <v>58</v>
      </c>
      <c r="J186" t="s">
        <v>59</v>
      </c>
      <c r="K186" t="s">
        <v>60</v>
      </c>
      <c r="L186" t="s">
        <v>61</v>
      </c>
      <c r="M186" t="s">
        <v>62</v>
      </c>
    </row>
    <row r="187" spans="1:13" x14ac:dyDescent="0.2">
      <c r="A187" t="s">
        <v>94</v>
      </c>
      <c r="B187">
        <v>973</v>
      </c>
      <c r="C187">
        <v>5199</v>
      </c>
      <c r="D187" t="str">
        <f>VLOOKUP(B187,[1]ManipulationPage!$A$3:$D$541,4,FALSE)</f>
        <v>Italy</v>
      </c>
      <c r="E187" t="s">
        <v>1386</v>
      </c>
      <c r="F187" t="s">
        <v>682</v>
      </c>
      <c r="G187" t="str">
        <f>VLOOKUP($F187,RecipeNotes!$A$2:$E$62,3,FALSE)</f>
        <v xml:space="preserve">Shortcut recipe: Fry onions and spices on a pan. Add rice with a little wine, then add stock and boiling water gradually.  </v>
      </c>
      <c r="H187" t="str">
        <f>VLOOKUP($F187,RecipeNotes!$A$2:$E$62,5,FALSE)</f>
        <v xml:space="preserve">Shortcut opskrift: Steg løg og krydderier på panden. Tilføj ris med en smule vin. Tilføj kogende vand med buillon gradvist.  </v>
      </c>
      <c r="I187" t="s">
        <v>58</v>
      </c>
      <c r="J187" t="s">
        <v>59</v>
      </c>
      <c r="K187" t="s">
        <v>60</v>
      </c>
      <c r="L187" t="s">
        <v>61</v>
      </c>
      <c r="M187" t="s">
        <v>62</v>
      </c>
    </row>
    <row r="188" spans="1:13" x14ac:dyDescent="0.2">
      <c r="A188" t="s">
        <v>149</v>
      </c>
      <c r="B188">
        <v>1158</v>
      </c>
      <c r="D188" t="str">
        <f>VLOOKUP(B188,[1]ManipulationPage!$A$3:$D$541,4,FALSE)</f>
        <v>Italy</v>
      </c>
      <c r="G188" t="e">
        <f>VLOOKUP($F188,RecipeNotes!$A$2:$E$62,3,FALSE)</f>
        <v>#N/A</v>
      </c>
      <c r="H188" t="e">
        <f>VLOOKUP($F188,RecipeNotes!$A$2:$E$62,5,FALSE)</f>
        <v>#N/A</v>
      </c>
    </row>
    <row r="189" spans="1:13" x14ac:dyDescent="0.2">
      <c r="A189" t="s">
        <v>167</v>
      </c>
      <c r="B189">
        <v>972</v>
      </c>
      <c r="C189">
        <v>5193</v>
      </c>
      <c r="D189" t="str">
        <f>VLOOKUP(B189,[1]ManipulationPage!$A$3:$D$541,4,FALSE)</f>
        <v>Italy</v>
      </c>
      <c r="E189" t="s">
        <v>1386</v>
      </c>
      <c r="F189" t="s">
        <v>682</v>
      </c>
      <c r="G189" t="str">
        <f>VLOOKUP($F189,RecipeNotes!$A$2:$E$62,3,FALSE)</f>
        <v xml:space="preserve">Shortcut recipe: Fry onions and spices on a pan. Add rice with a little wine, then add stock and boiling water gradually.  </v>
      </c>
      <c r="H189" t="str">
        <f>VLOOKUP($F189,RecipeNotes!$A$2:$E$62,5,FALSE)</f>
        <v xml:space="preserve">Shortcut opskrift: Steg løg og krydderier på panden. Tilføj ris med en smule vin. Tilføj kogende vand med buillon gradvist.  </v>
      </c>
      <c r="I189" t="s">
        <v>58</v>
      </c>
      <c r="J189" t="s">
        <v>59</v>
      </c>
      <c r="K189" t="s">
        <v>60</v>
      </c>
      <c r="L189" t="s">
        <v>61</v>
      </c>
      <c r="M189" t="s">
        <v>62</v>
      </c>
    </row>
    <row r="190" spans="1:13" x14ac:dyDescent="0.2">
      <c r="A190" t="s">
        <v>270</v>
      </c>
      <c r="B190">
        <v>65</v>
      </c>
      <c r="C190">
        <v>1319</v>
      </c>
      <c r="D190" t="str">
        <f>VLOOKUP(B190,[1]ManipulationPage!$A$3:$D$541,4,FALSE)</f>
        <v>Italy</v>
      </c>
      <c r="E190" t="s">
        <v>1386</v>
      </c>
      <c r="F190" t="s">
        <v>487</v>
      </c>
      <c r="G190" t="str">
        <f>VLOOKUP($F190,RecipeNotes!$A$2:$E$62,3,FALSE)</f>
        <v>Shortcut recipe: Alternate between layers of pasta and sauce. Bake in the oven for 30+ minutes (180 degrees).</v>
      </c>
      <c r="H190" t="str">
        <f>VLOOKUP($F190,RecipeNotes!$A$2:$E$62,5,FALSE)</f>
        <v>Shortcut opskrift: Skift mellem lag a pasta og din sovs. Bag i ovnen i +30 minutter ved 180 grader.</v>
      </c>
      <c r="I190" t="s">
        <v>271</v>
      </c>
      <c r="J190" t="s">
        <v>272</v>
      </c>
      <c r="K190" t="s">
        <v>273</v>
      </c>
    </row>
    <row r="191" spans="1:13" x14ac:dyDescent="0.2">
      <c r="A191" t="s">
        <v>359</v>
      </c>
      <c r="B191">
        <v>173</v>
      </c>
      <c r="C191">
        <v>1918</v>
      </c>
      <c r="D191" t="str">
        <f>VLOOKUP(B191,[1]ManipulationPage!$A$3:$D$541,4,FALSE)</f>
        <v>Italy</v>
      </c>
      <c r="E191" t="s">
        <v>1386</v>
      </c>
      <c r="F191" t="s">
        <v>618</v>
      </c>
      <c r="G191" t="str">
        <f>VLOOKUP($F191,RecipeNotes!$A$2:$E$62,3,FALSE)</f>
        <v>Shortcut recipe: Make your suco of fried onions, spices, and your choice of paste. Add to pizza with your choice of veggies.</v>
      </c>
      <c r="H191" t="str">
        <f>VLOOKUP($F191,RecipeNotes!$A$2:$E$62,5,FALSE)</f>
        <v>Shortcut opskrift: Smør din pizza sauce i tyndt lag (lavet af løg, krydderier og din sauce stegt på en pande). Tilføj dine grøntsager på toppen.</v>
      </c>
      <c r="I191" t="s">
        <v>13</v>
      </c>
      <c r="J191" t="s">
        <v>14</v>
      </c>
      <c r="K191" t="s">
        <v>15</v>
      </c>
    </row>
    <row r="192" spans="1:13" x14ac:dyDescent="0.2">
      <c r="A192" t="s">
        <v>411</v>
      </c>
      <c r="B192">
        <v>302</v>
      </c>
      <c r="C192">
        <v>2680</v>
      </c>
      <c r="D192" t="str">
        <f>VLOOKUP(B192,[1]ManipulationPage!$A$3:$D$541,4,FALSE)</f>
        <v>Italy</v>
      </c>
      <c r="G192" t="e">
        <f>VLOOKUP($F192,RecipeNotes!$A$2:$E$62,3,FALSE)</f>
        <v>#N/A</v>
      </c>
      <c r="H192" t="e">
        <f>VLOOKUP($F192,RecipeNotes!$A$2:$E$62,5,FALSE)</f>
        <v>#N/A</v>
      </c>
      <c r="I192" t="s">
        <v>412</v>
      </c>
      <c r="J192" t="s">
        <v>413</v>
      </c>
      <c r="K192" t="s">
        <v>414</v>
      </c>
    </row>
    <row r="193" spans="1:13" x14ac:dyDescent="0.2">
      <c r="A193" t="s">
        <v>462</v>
      </c>
      <c r="B193">
        <v>847</v>
      </c>
      <c r="D193" t="str">
        <f>VLOOKUP(B193,[1]ManipulationPage!$A$3:$D$541,4,FALSE)</f>
        <v>Italy</v>
      </c>
      <c r="E193" t="s">
        <v>1386</v>
      </c>
      <c r="F193" t="s">
        <v>604</v>
      </c>
      <c r="G193" t="str">
        <f>VLOOKUP($F193,RecipeNotes!$A$2:$E$62,3,FALSE)</f>
        <v>Shortcut recipe: Fry onions and spices on a pan. Mix with cooked pasta, including a cup of the pasta water (for creamy consistency).</v>
      </c>
      <c r="H193" t="str">
        <f>VLOOKUP($F193,RecipeNotes!$A$2:$E$62,5,FALSE)</f>
        <v>Shortcut opskrift: Steg løg og krydderier på panden. Ibland den kogte pasta med en kop pasta vand.</v>
      </c>
    </row>
    <row r="194" spans="1:13" x14ac:dyDescent="0.2">
      <c r="A194" t="s">
        <v>487</v>
      </c>
      <c r="B194">
        <v>92</v>
      </c>
      <c r="C194">
        <v>1423</v>
      </c>
      <c r="D194" t="str">
        <f>VLOOKUP(B194,[1]ManipulationPage!$A$3:$D$541,4,FALSE)</f>
        <v>Italy</v>
      </c>
      <c r="E194" t="s">
        <v>1386</v>
      </c>
      <c r="F194" t="s">
        <v>487</v>
      </c>
      <c r="G194" t="str">
        <f>VLOOKUP($F194,RecipeNotes!$A$2:$E$62,3,FALSE)</f>
        <v>Shortcut recipe: Alternate between layers of pasta and sauce. Bake in the oven for 30+ minutes (180 degrees).</v>
      </c>
      <c r="H194" t="str">
        <f>VLOOKUP($F194,RecipeNotes!$A$2:$E$62,5,FALSE)</f>
        <v>Shortcut opskrift: Skift mellem lag a pasta og din sovs. Bag i ovnen i +30 minutter ved 180 grader.</v>
      </c>
      <c r="I194" t="s">
        <v>271</v>
      </c>
      <c r="J194" t="s">
        <v>272</v>
      </c>
      <c r="K194" t="s">
        <v>273</v>
      </c>
      <c r="L194" t="s">
        <v>488</v>
      </c>
      <c r="M194" t="s">
        <v>489</v>
      </c>
    </row>
    <row r="195" spans="1:13" x14ac:dyDescent="0.2">
      <c r="A195" t="s">
        <v>555</v>
      </c>
      <c r="B195">
        <v>175</v>
      </c>
      <c r="C195">
        <v>1930</v>
      </c>
      <c r="D195" t="str">
        <f>VLOOKUP(B195,[1]ManipulationPage!$A$3:$D$541,4,FALSE)</f>
        <v>Italy</v>
      </c>
      <c r="E195" t="s">
        <v>1386</v>
      </c>
      <c r="F195" t="s">
        <v>618</v>
      </c>
      <c r="G195" t="str">
        <f>VLOOKUP($F195,RecipeNotes!$A$2:$E$62,3,FALSE)</f>
        <v>Shortcut recipe: Make your suco of fried onions, spices, and your choice of paste. Add to pizza with your choice of veggies.</v>
      </c>
      <c r="H195" t="str">
        <f>VLOOKUP($F195,RecipeNotes!$A$2:$E$62,5,FALSE)</f>
        <v>Shortcut opskrift: Smør din pizza sauce i tyndt lag (lavet af løg, krydderier og din sauce stegt på en pande). Tilføj dine grøntsager på toppen.</v>
      </c>
      <c r="I195" t="s">
        <v>13</v>
      </c>
      <c r="J195" t="s">
        <v>14</v>
      </c>
      <c r="K195" t="s">
        <v>15</v>
      </c>
    </row>
    <row r="196" spans="1:13" x14ac:dyDescent="0.2">
      <c r="A196" t="s">
        <v>556</v>
      </c>
      <c r="B196">
        <v>971</v>
      </c>
      <c r="C196">
        <v>5187</v>
      </c>
      <c r="D196" t="str">
        <f>VLOOKUP(B196,[1]ManipulationPage!$A$3:$D$541,4,FALSE)</f>
        <v>Italy</v>
      </c>
      <c r="E196" t="s">
        <v>1386</v>
      </c>
      <c r="F196" t="s">
        <v>682</v>
      </c>
      <c r="G196" t="str">
        <f>VLOOKUP($F196,RecipeNotes!$A$2:$E$62,3,FALSE)</f>
        <v xml:space="preserve">Shortcut recipe: Fry onions and spices on a pan. Add rice with a little wine, then add stock and boiling water gradually.  </v>
      </c>
      <c r="H196" t="str">
        <f>VLOOKUP($F196,RecipeNotes!$A$2:$E$62,5,FALSE)</f>
        <v xml:space="preserve">Shortcut opskrift: Steg løg og krydderier på panden. Tilføj ris med en smule vin. Tilføj kogende vand med buillon gradvist.  </v>
      </c>
      <c r="I196" t="s">
        <v>58</v>
      </c>
      <c r="J196" t="s">
        <v>59</v>
      </c>
      <c r="K196" t="s">
        <v>60</v>
      </c>
      <c r="L196" t="s">
        <v>61</v>
      </c>
      <c r="M196" t="s">
        <v>62</v>
      </c>
    </row>
    <row r="197" spans="1:13" x14ac:dyDescent="0.2">
      <c r="A197" t="s">
        <v>601</v>
      </c>
      <c r="B197">
        <v>1156</v>
      </c>
      <c r="C197">
        <v>10199</v>
      </c>
      <c r="D197" t="str">
        <f>VLOOKUP(B197,[1]ManipulationPage!$A$3:$D$541,4,FALSE)</f>
        <v>Italy</v>
      </c>
      <c r="E197" t="s">
        <v>1386</v>
      </c>
      <c r="F197" t="s">
        <v>601</v>
      </c>
      <c r="G197" t="str">
        <f>VLOOKUP($F197,RecipeNotes!$A$2:$E$62,3,FALSE)</f>
        <v>Shortcut recipe: 50% is bread. Cut bread in cubes, drizzle with oil and salt, and then bake in oven. Cook and add your other ingredients</v>
      </c>
      <c r="H197" t="str">
        <f>VLOOKUP($F197,RecipeNotes!$A$2:$E$62,5,FALSE)</f>
        <v>Shortcut opskrift: 50% er brød. Skær brøddet i kvadrater, tilføj olie og salt og bag i ovnen. Tilføj til de andre ingredienser.</v>
      </c>
    </row>
    <row r="198" spans="1:13" x14ac:dyDescent="0.2">
      <c r="A198" t="s">
        <v>618</v>
      </c>
      <c r="B198">
        <v>86</v>
      </c>
      <c r="C198">
        <v>1391</v>
      </c>
      <c r="D198" t="str">
        <f>VLOOKUP(B198,[1]ManipulationPage!$A$3:$D$541,4,FALSE)</f>
        <v>Italy</v>
      </c>
      <c r="E198" t="s">
        <v>1386</v>
      </c>
      <c r="F198" t="s">
        <v>618</v>
      </c>
      <c r="G198" t="str">
        <f>VLOOKUP($F198,RecipeNotes!$A$2:$E$62,3,FALSE)</f>
        <v>Shortcut recipe: Make your suco of fried onions, spices, and your choice of paste. Add to pizza with your choice of veggies.</v>
      </c>
      <c r="H198" t="str">
        <f>VLOOKUP($F198,RecipeNotes!$A$2:$E$62,5,FALSE)</f>
        <v>Shortcut opskrift: Smør din pizza sauce i tyndt lag (lavet af løg, krydderier og din sauce stegt på en pande). Tilføj dine grøntsager på toppen.</v>
      </c>
      <c r="I198" t="s">
        <v>13</v>
      </c>
      <c r="J198" t="s">
        <v>14</v>
      </c>
      <c r="K198" t="s">
        <v>15</v>
      </c>
      <c r="L198" t="s">
        <v>619</v>
      </c>
      <c r="M198" t="s">
        <v>620</v>
      </c>
    </row>
    <row r="199" spans="1:13" x14ac:dyDescent="0.2">
      <c r="A199" t="s">
        <v>621</v>
      </c>
      <c r="B199">
        <v>29</v>
      </c>
      <c r="C199">
        <v>1119</v>
      </c>
      <c r="D199" t="str">
        <f>VLOOKUP(B199,[1]ManipulationPage!$A$3:$D$541,4,FALSE)</f>
        <v>Italy</v>
      </c>
      <c r="E199" t="s">
        <v>1386</v>
      </c>
      <c r="F199" t="s">
        <v>618</v>
      </c>
      <c r="G199" t="str">
        <f>VLOOKUP($F199,RecipeNotes!$A$2:$E$62,3,FALSE)</f>
        <v>Shortcut recipe: Make your suco of fried onions, spices, and your choice of paste. Add to pizza with your choice of veggies.</v>
      </c>
      <c r="H199" t="str">
        <f>VLOOKUP($F199,RecipeNotes!$A$2:$E$62,5,FALSE)</f>
        <v>Shortcut opskrift: Smør din pizza sauce i tyndt lag (lavet af løg, krydderier og din sauce stegt på en pande). Tilføj dine grøntsager på toppen.</v>
      </c>
      <c r="I199" t="s">
        <v>622</v>
      </c>
      <c r="J199" t="s">
        <v>623</v>
      </c>
      <c r="K199" t="s">
        <v>624</v>
      </c>
    </row>
    <row r="200" spans="1:13" x14ac:dyDescent="0.2">
      <c r="A200" t="s">
        <v>632</v>
      </c>
      <c r="B200">
        <v>358</v>
      </c>
      <c r="C200">
        <v>2856</v>
      </c>
      <c r="D200" t="str">
        <f>VLOOKUP(B200,[1]ManipulationPage!$A$3:$D$541,4,FALSE)</f>
        <v>Italy</v>
      </c>
      <c r="G200" t="e">
        <f>VLOOKUP($F200,RecipeNotes!$A$2:$E$62,3,FALSE)</f>
        <v>#N/A</v>
      </c>
      <c r="H200" t="e">
        <f>VLOOKUP($F200,RecipeNotes!$A$2:$E$62,5,FALSE)</f>
        <v>#N/A</v>
      </c>
      <c r="I200" t="s">
        <v>633</v>
      </c>
    </row>
    <row r="201" spans="1:13" x14ac:dyDescent="0.2">
      <c r="A201" t="s">
        <v>682</v>
      </c>
      <c r="B201">
        <v>87</v>
      </c>
      <c r="C201">
        <v>1397</v>
      </c>
      <c r="D201" t="str">
        <f>VLOOKUP(B201,[1]ManipulationPage!$A$3:$D$541,4,FALSE)</f>
        <v>Italy</v>
      </c>
      <c r="E201" t="s">
        <v>1386</v>
      </c>
      <c r="F201" t="s">
        <v>682</v>
      </c>
      <c r="G201" t="str">
        <f>VLOOKUP($F201,RecipeNotes!$A$2:$E$62,3,FALSE)</f>
        <v xml:space="preserve">Shortcut recipe: Fry onions and spices on a pan. Add rice with a little wine, then add stock and boiling water gradually.  </v>
      </c>
      <c r="H201" t="str">
        <f>VLOOKUP($F201,RecipeNotes!$A$2:$E$62,5,FALSE)</f>
        <v xml:space="preserve">Shortcut opskrift: Steg løg og krydderier på panden. Tilføj ris med en smule vin. Tilføj kogende vand med buillon gradvist.  </v>
      </c>
      <c r="I201" t="s">
        <v>58</v>
      </c>
      <c r="J201" t="s">
        <v>59</v>
      </c>
      <c r="K201" t="s">
        <v>60</v>
      </c>
      <c r="L201" t="s">
        <v>61</v>
      </c>
      <c r="M201" t="s">
        <v>62</v>
      </c>
    </row>
    <row r="202" spans="1:13" x14ac:dyDescent="0.2">
      <c r="A202" t="s">
        <v>683</v>
      </c>
      <c r="B202">
        <v>521</v>
      </c>
      <c r="C202">
        <v>3203</v>
      </c>
      <c r="D202" t="str">
        <f>VLOOKUP(B202,[1]ManipulationPage!$A$3:$D$541,4,FALSE)</f>
        <v>Italy</v>
      </c>
      <c r="E202" t="s">
        <v>1386</v>
      </c>
      <c r="F202" t="s">
        <v>682</v>
      </c>
      <c r="G202" t="str">
        <f>VLOOKUP($F202,RecipeNotes!$A$2:$E$62,3,FALSE)</f>
        <v xml:space="preserve">Shortcut recipe: Fry onions and spices on a pan. Add rice with a little wine, then add stock and boiling water gradually.  </v>
      </c>
      <c r="H202" t="str">
        <f>VLOOKUP($F202,RecipeNotes!$A$2:$E$62,5,FALSE)</f>
        <v xml:space="preserve">Shortcut opskrift: Steg løg og krydderier på panden. Tilføj ris med en smule vin. Tilføj kogende vand med buillon gradvist.  </v>
      </c>
      <c r="I202" t="s">
        <v>684</v>
      </c>
    </row>
    <row r="203" spans="1:13" x14ac:dyDescent="0.2">
      <c r="A203" t="s">
        <v>728</v>
      </c>
      <c r="B203">
        <v>8</v>
      </c>
      <c r="C203">
        <v>997</v>
      </c>
      <c r="D203" t="str">
        <f>VLOOKUP(B203,[1]ManipulationPage!$A$3:$D$541,4,FALSE)</f>
        <v>Italy</v>
      </c>
      <c r="E203" t="s">
        <v>1386</v>
      </c>
      <c r="F203" t="s">
        <v>618</v>
      </c>
      <c r="G203" t="str">
        <f>VLOOKUP($F203,RecipeNotes!$A$2:$E$62,3,FALSE)</f>
        <v>Shortcut recipe: Make your suco of fried onions, spices, and your choice of paste. Add to pizza with your choice of veggies.</v>
      </c>
      <c r="H203" t="str">
        <f>VLOOKUP($F203,RecipeNotes!$A$2:$E$62,5,FALSE)</f>
        <v>Shortcut opskrift: Smør din pizza sauce i tyndt lag (lavet af løg, krydderier og din sauce stegt på en pande). Tilføj dine grøntsager på toppen.</v>
      </c>
      <c r="I203" t="s">
        <v>729</v>
      </c>
      <c r="J203" t="s">
        <v>730</v>
      </c>
      <c r="K203" t="s">
        <v>731</v>
      </c>
    </row>
    <row r="204" spans="1:13" x14ac:dyDescent="0.2">
      <c r="A204" t="s">
        <v>895</v>
      </c>
      <c r="B204">
        <v>66</v>
      </c>
      <c r="C204">
        <v>1325</v>
      </c>
      <c r="D204" t="str">
        <f>VLOOKUP(B204,[1]ManipulationPage!$A$3:$D$541,4,FALSE)</f>
        <v>Italy</v>
      </c>
      <c r="E204" t="s">
        <v>1386</v>
      </c>
      <c r="F204" t="s">
        <v>487</v>
      </c>
      <c r="G204" t="str">
        <f>VLOOKUP($F204,RecipeNotes!$A$2:$E$62,3,FALSE)</f>
        <v>Shortcut recipe: Alternate between layers of pasta and sauce. Bake in the oven for 30+ minutes (180 degrees).</v>
      </c>
      <c r="H204" t="str">
        <f>VLOOKUP($F204,RecipeNotes!$A$2:$E$62,5,FALSE)</f>
        <v>Shortcut opskrift: Skift mellem lag a pasta og din sovs. Bag i ovnen i +30 minutter ved 180 grader.</v>
      </c>
      <c r="I204" t="s">
        <v>271</v>
      </c>
      <c r="J204" t="s">
        <v>272</v>
      </c>
      <c r="K204" t="s">
        <v>273</v>
      </c>
    </row>
    <row r="205" spans="1:13" x14ac:dyDescent="0.2">
      <c r="A205" t="s">
        <v>903</v>
      </c>
      <c r="B205">
        <v>975</v>
      </c>
      <c r="C205">
        <v>5233</v>
      </c>
      <c r="D205" t="str">
        <f>VLOOKUP(B205,[1]ManipulationPage!$A$3:$D$541,4,FALSE)</f>
        <v>Italy</v>
      </c>
      <c r="E205" t="s">
        <v>1386</v>
      </c>
      <c r="F205" t="s">
        <v>682</v>
      </c>
      <c r="G205" t="str">
        <f>VLOOKUP($F205,RecipeNotes!$A$2:$E$62,3,FALSE)</f>
        <v xml:space="preserve">Shortcut recipe: Fry onions and spices on a pan. Add rice with a little wine, then add stock and boiling water gradually.  </v>
      </c>
      <c r="H205" t="str">
        <f>VLOOKUP($F205,RecipeNotes!$A$2:$E$62,5,FALSE)</f>
        <v xml:space="preserve">Shortcut opskrift: Steg løg og krydderier på panden. Tilføj ris med en smule vin. Tilføj kogende vand med buillon gradvist.  </v>
      </c>
      <c r="I205" t="s">
        <v>58</v>
      </c>
      <c r="J205" t="s">
        <v>59</v>
      </c>
      <c r="K205" t="s">
        <v>60</v>
      </c>
      <c r="L205" t="s">
        <v>61</v>
      </c>
      <c r="M205" t="s">
        <v>62</v>
      </c>
    </row>
    <row r="206" spans="1:13" x14ac:dyDescent="0.2">
      <c r="A206" t="s">
        <v>104</v>
      </c>
      <c r="B206">
        <v>1133</v>
      </c>
      <c r="C206">
        <v>9888</v>
      </c>
      <c r="D206" t="str">
        <f>VLOOKUP(B206,[1]ManipulationPage!$A$3:$D$541,4,FALSE)</f>
        <v>Jam</v>
      </c>
      <c r="G206" t="e">
        <f>VLOOKUP($F206,RecipeNotes!$A$2:$E$62,3,FALSE)</f>
        <v>#N/A</v>
      </c>
      <c r="H206" t="e">
        <f>VLOOKUP($F206,RecipeNotes!$A$2:$E$62,5,FALSE)</f>
        <v>#N/A</v>
      </c>
    </row>
    <row r="207" spans="1:13" x14ac:dyDescent="0.2">
      <c r="A207" t="s">
        <v>104</v>
      </c>
      <c r="B207">
        <v>1103</v>
      </c>
      <c r="C207">
        <v>9828</v>
      </c>
      <c r="D207" t="str">
        <f>VLOOKUP(B207,[1]ManipulationPage!$A$3:$D$541,4,FALSE)</f>
        <v>Jam</v>
      </c>
      <c r="G207" t="e">
        <f>VLOOKUP($F207,RecipeNotes!$A$2:$E$62,3,FALSE)</f>
        <v>#N/A</v>
      </c>
      <c r="H207" t="e">
        <f>VLOOKUP($F207,RecipeNotes!$A$2:$E$62,5,FALSE)</f>
        <v>#N/A</v>
      </c>
    </row>
    <row r="208" spans="1:13" x14ac:dyDescent="0.2">
      <c r="A208" t="s">
        <v>104</v>
      </c>
      <c r="B208">
        <v>1041</v>
      </c>
      <c r="C208">
        <v>6340</v>
      </c>
      <c r="D208" t="str">
        <f>VLOOKUP(B208,[1]ManipulationPage!$A$3:$D$541,4,FALSE)</f>
        <v>Jam</v>
      </c>
      <c r="G208" t="e">
        <f>VLOOKUP($F208,RecipeNotes!$A$2:$E$62,3,FALSE)</f>
        <v>#N/A</v>
      </c>
      <c r="H208" t="e">
        <f>VLOOKUP($F208,RecipeNotes!$A$2:$E$62,5,FALSE)</f>
        <v>#N/A</v>
      </c>
    </row>
    <row r="209" spans="1:8" x14ac:dyDescent="0.2">
      <c r="A209" t="s">
        <v>105</v>
      </c>
      <c r="B209">
        <v>1134</v>
      </c>
      <c r="C209">
        <v>9890</v>
      </c>
      <c r="D209" t="str">
        <f>VLOOKUP(B209,[1]ManipulationPage!$A$3:$D$541,4,FALSE)</f>
        <v>Jam</v>
      </c>
      <c r="G209" t="e">
        <f>VLOOKUP($F209,RecipeNotes!$A$2:$E$62,3,FALSE)</f>
        <v>#N/A</v>
      </c>
      <c r="H209" t="e">
        <f>VLOOKUP($F209,RecipeNotes!$A$2:$E$62,5,FALSE)</f>
        <v>#N/A</v>
      </c>
    </row>
    <row r="210" spans="1:8" x14ac:dyDescent="0.2">
      <c r="A210" t="s">
        <v>105</v>
      </c>
      <c r="B210">
        <v>1104</v>
      </c>
      <c r="C210">
        <v>9830</v>
      </c>
      <c r="D210" t="str">
        <f>VLOOKUP(B210,[1]ManipulationPage!$A$3:$D$541,4,FALSE)</f>
        <v>Jam</v>
      </c>
      <c r="G210" t="e">
        <f>VLOOKUP($F210,RecipeNotes!$A$2:$E$62,3,FALSE)</f>
        <v>#N/A</v>
      </c>
      <c r="H210" t="e">
        <f>VLOOKUP($F210,RecipeNotes!$A$2:$E$62,5,FALSE)</f>
        <v>#N/A</v>
      </c>
    </row>
    <row r="211" spans="1:8" x14ac:dyDescent="0.2">
      <c r="A211" t="s">
        <v>105</v>
      </c>
      <c r="B211">
        <v>1050</v>
      </c>
      <c r="C211">
        <v>7089</v>
      </c>
      <c r="D211" t="str">
        <f>VLOOKUP(B211,[1]ManipulationPage!$A$3:$D$541,4,FALSE)</f>
        <v>Jam</v>
      </c>
      <c r="G211" t="e">
        <f>VLOOKUP($F211,RecipeNotes!$A$2:$E$62,3,FALSE)</f>
        <v>#N/A</v>
      </c>
      <c r="H211" t="e">
        <f>VLOOKUP($F211,RecipeNotes!$A$2:$E$62,5,FALSE)</f>
        <v>#N/A</v>
      </c>
    </row>
    <row r="212" spans="1:8" x14ac:dyDescent="0.2">
      <c r="A212" t="s">
        <v>269</v>
      </c>
      <c r="B212">
        <v>1101</v>
      </c>
      <c r="C212">
        <v>9618</v>
      </c>
      <c r="D212" t="str">
        <f>VLOOKUP(B212,[1]ManipulationPage!$A$3:$D$541,4,FALSE)</f>
        <v>Jam</v>
      </c>
      <c r="G212" t="e">
        <f>VLOOKUP($F212,RecipeNotes!$A$2:$E$62,3,FALSE)</f>
        <v>#N/A</v>
      </c>
      <c r="H212" t="e">
        <f>VLOOKUP($F212,RecipeNotes!$A$2:$E$62,5,FALSE)</f>
        <v>#N/A</v>
      </c>
    </row>
    <row r="213" spans="1:8" x14ac:dyDescent="0.2">
      <c r="A213" t="s">
        <v>360</v>
      </c>
      <c r="B213">
        <v>1088</v>
      </c>
      <c r="C213">
        <v>9029</v>
      </c>
      <c r="D213" t="str">
        <f>VLOOKUP(B213,[1]ManipulationPage!$A$3:$D$541,4,FALSE)</f>
        <v>jam</v>
      </c>
      <c r="G213" t="e">
        <f>VLOOKUP($F213,RecipeNotes!$A$2:$E$62,3,FALSE)</f>
        <v>#N/A</v>
      </c>
      <c r="H213" t="e">
        <f>VLOOKUP($F213,RecipeNotes!$A$2:$E$62,5,FALSE)</f>
        <v>#N/A</v>
      </c>
    </row>
    <row r="214" spans="1:8" x14ac:dyDescent="0.2">
      <c r="A214" t="s">
        <v>360</v>
      </c>
      <c r="B214">
        <v>1105</v>
      </c>
      <c r="C214">
        <v>9832</v>
      </c>
      <c r="D214" t="str">
        <f>VLOOKUP(B214,[1]ManipulationPage!$A$3:$D$541,4,FALSE)</f>
        <v>jam</v>
      </c>
      <c r="G214" t="e">
        <f>VLOOKUP($F214,RecipeNotes!$A$2:$E$62,3,FALSE)</f>
        <v>#N/A</v>
      </c>
      <c r="H214" t="e">
        <f>VLOOKUP($F214,RecipeNotes!$A$2:$E$62,5,FALSE)</f>
        <v>#N/A</v>
      </c>
    </row>
    <row r="215" spans="1:8" x14ac:dyDescent="0.2">
      <c r="A215" t="s">
        <v>360</v>
      </c>
      <c r="B215">
        <v>1135</v>
      </c>
      <c r="C215">
        <v>9892</v>
      </c>
      <c r="D215" t="str">
        <f>VLOOKUP(B215,[1]ManipulationPage!$A$3:$D$541,4,FALSE)</f>
        <v>jam</v>
      </c>
      <c r="G215" t="e">
        <f>VLOOKUP($F215,RecipeNotes!$A$2:$E$62,3,FALSE)</f>
        <v>#N/A</v>
      </c>
      <c r="H215" t="e">
        <f>VLOOKUP($F215,RecipeNotes!$A$2:$E$62,5,FALSE)</f>
        <v>#N/A</v>
      </c>
    </row>
    <row r="216" spans="1:8" x14ac:dyDescent="0.2">
      <c r="A216" t="s">
        <v>361</v>
      </c>
      <c r="B216">
        <v>1042</v>
      </c>
      <c r="C216">
        <v>6334</v>
      </c>
      <c r="D216" t="str">
        <f>VLOOKUP(B216,[1]ManipulationPage!$A$3:$D$541,4,FALSE)</f>
        <v>jam</v>
      </c>
      <c r="G216" t="e">
        <f>VLOOKUP($F216,RecipeNotes!$A$2:$E$62,3,FALSE)</f>
        <v>#N/A</v>
      </c>
      <c r="H216" t="e">
        <f>VLOOKUP($F216,RecipeNotes!$A$2:$E$62,5,FALSE)</f>
        <v>#N/A</v>
      </c>
    </row>
    <row r="217" spans="1:8" x14ac:dyDescent="0.2">
      <c r="A217" t="s">
        <v>374</v>
      </c>
      <c r="B217">
        <v>1025</v>
      </c>
      <c r="C217">
        <v>6302</v>
      </c>
      <c r="D217" t="str">
        <f>VLOOKUP(B217,[1]ManipulationPage!$A$3:$D$541,4,FALSE)</f>
        <v>jam</v>
      </c>
      <c r="G217" t="e">
        <f>VLOOKUP($F217,RecipeNotes!$A$2:$E$62,3,FALSE)</f>
        <v>#N/A</v>
      </c>
      <c r="H217" t="e">
        <f>VLOOKUP($F217,RecipeNotes!$A$2:$E$62,5,FALSE)</f>
        <v>#N/A</v>
      </c>
    </row>
    <row r="218" spans="1:8" x14ac:dyDescent="0.2">
      <c r="A218" t="s">
        <v>384</v>
      </c>
      <c r="B218">
        <v>983</v>
      </c>
      <c r="C218">
        <v>5380</v>
      </c>
      <c r="D218" t="str">
        <f>VLOOKUP(B218,[1]ManipulationPage!$A$3:$D$541,4,FALSE)</f>
        <v>jam</v>
      </c>
      <c r="G218" t="e">
        <f>VLOOKUP($F218,RecipeNotes!$A$2:$E$62,3,FALSE)</f>
        <v>#N/A</v>
      </c>
      <c r="H218" t="e">
        <f>VLOOKUP($F218,RecipeNotes!$A$2:$E$62,5,FALSE)</f>
        <v>#N/A</v>
      </c>
    </row>
    <row r="219" spans="1:8" x14ac:dyDescent="0.2">
      <c r="A219" t="s">
        <v>393</v>
      </c>
      <c r="B219">
        <v>950</v>
      </c>
      <c r="C219">
        <v>4649</v>
      </c>
      <c r="D219" t="str">
        <f>VLOOKUP(B219,[1]ManipulationPage!$A$3:$D$541,4,FALSE)</f>
        <v>jam</v>
      </c>
      <c r="G219" t="e">
        <f>VLOOKUP($F219,RecipeNotes!$A$2:$E$62,3,FALSE)</f>
        <v>#N/A</v>
      </c>
      <c r="H219" t="e">
        <f>VLOOKUP($F219,RecipeNotes!$A$2:$E$62,5,FALSE)</f>
        <v>#N/A</v>
      </c>
    </row>
    <row r="220" spans="1:8" x14ac:dyDescent="0.2">
      <c r="A220" t="s">
        <v>394</v>
      </c>
      <c r="B220">
        <v>1100</v>
      </c>
      <c r="C220">
        <v>9616</v>
      </c>
      <c r="D220" t="str">
        <f>VLOOKUP(B220,[1]ManipulationPage!$A$3:$D$541,4,FALSE)</f>
        <v>Jam</v>
      </c>
      <c r="G220" t="e">
        <f>VLOOKUP($F220,RecipeNotes!$A$2:$E$62,3,FALSE)</f>
        <v>#N/A</v>
      </c>
      <c r="H220" t="e">
        <f>VLOOKUP($F220,RecipeNotes!$A$2:$E$62,5,FALSE)</f>
        <v>#N/A</v>
      </c>
    </row>
    <row r="221" spans="1:8" x14ac:dyDescent="0.2">
      <c r="A221" t="s">
        <v>394</v>
      </c>
      <c r="B221">
        <v>1136</v>
      </c>
      <c r="C221">
        <v>9894</v>
      </c>
      <c r="D221" t="str">
        <f>VLOOKUP(B221,[1]ManipulationPage!$A$3:$D$541,4,FALSE)</f>
        <v>jam</v>
      </c>
      <c r="G221" t="e">
        <f>VLOOKUP($F221,RecipeNotes!$A$2:$E$62,3,FALSE)</f>
        <v>#N/A</v>
      </c>
      <c r="H221" t="e">
        <f>VLOOKUP($F221,RecipeNotes!$A$2:$E$62,5,FALSE)</f>
        <v>#N/A</v>
      </c>
    </row>
    <row r="222" spans="1:8" x14ac:dyDescent="0.2">
      <c r="A222" t="s">
        <v>394</v>
      </c>
      <c r="B222">
        <v>1137</v>
      </c>
      <c r="C222">
        <v>9896</v>
      </c>
      <c r="D222" t="str">
        <f>VLOOKUP(B222,[1]ManipulationPage!$A$3:$D$541,4,FALSE)</f>
        <v>jam</v>
      </c>
      <c r="G222" t="e">
        <f>VLOOKUP($F222,RecipeNotes!$A$2:$E$62,3,FALSE)</f>
        <v>#N/A</v>
      </c>
      <c r="H222" t="e">
        <f>VLOOKUP($F222,RecipeNotes!$A$2:$E$62,5,FALSE)</f>
        <v>#N/A</v>
      </c>
    </row>
    <row r="223" spans="1:8" x14ac:dyDescent="0.2">
      <c r="A223" t="s">
        <v>394</v>
      </c>
      <c r="B223">
        <v>1107</v>
      </c>
      <c r="C223">
        <v>9836</v>
      </c>
      <c r="D223" t="str">
        <f>VLOOKUP(B223,[1]ManipulationPage!$A$3:$D$541,4,FALSE)</f>
        <v>jam</v>
      </c>
      <c r="G223" t="e">
        <f>VLOOKUP($F223,RecipeNotes!$A$2:$E$62,3,FALSE)</f>
        <v>#N/A</v>
      </c>
      <c r="H223" t="e">
        <f>VLOOKUP($F223,RecipeNotes!$A$2:$E$62,5,FALSE)</f>
        <v>#N/A</v>
      </c>
    </row>
    <row r="224" spans="1:8" x14ac:dyDescent="0.2">
      <c r="A224" t="s">
        <v>394</v>
      </c>
      <c r="B224">
        <v>1032</v>
      </c>
      <c r="C224">
        <v>6316</v>
      </c>
      <c r="D224" t="str">
        <f>VLOOKUP(B224,[1]ManipulationPage!$A$3:$D$541,4,FALSE)</f>
        <v>jam</v>
      </c>
      <c r="G224" t="e">
        <f>VLOOKUP($F224,RecipeNotes!$A$2:$E$62,3,FALSE)</f>
        <v>#N/A</v>
      </c>
      <c r="H224" t="e">
        <f>VLOOKUP($F224,RecipeNotes!$A$2:$E$62,5,FALSE)</f>
        <v>#N/A</v>
      </c>
    </row>
    <row r="225" spans="1:8" x14ac:dyDescent="0.2">
      <c r="A225" t="s">
        <v>394</v>
      </c>
      <c r="B225">
        <v>1031</v>
      </c>
      <c r="C225">
        <v>6314</v>
      </c>
      <c r="D225" t="str">
        <f>VLOOKUP(B225,[1]ManipulationPage!$A$3:$D$541,4,FALSE)</f>
        <v>jam</v>
      </c>
      <c r="G225" t="e">
        <f>VLOOKUP($F225,RecipeNotes!$A$2:$E$62,3,FALSE)</f>
        <v>#N/A</v>
      </c>
      <c r="H225" t="e">
        <f>VLOOKUP($F225,RecipeNotes!$A$2:$E$62,5,FALSE)</f>
        <v>#N/A</v>
      </c>
    </row>
    <row r="226" spans="1:8" x14ac:dyDescent="0.2">
      <c r="A226" t="s">
        <v>394</v>
      </c>
      <c r="B226">
        <v>1106</v>
      </c>
      <c r="C226">
        <v>9834</v>
      </c>
      <c r="D226" t="str">
        <f>VLOOKUP(B226,[1]ManipulationPage!$A$3:$D$541,4,FALSE)</f>
        <v>jam</v>
      </c>
      <c r="G226" t="e">
        <f>VLOOKUP($F226,RecipeNotes!$A$2:$E$62,3,FALSE)</f>
        <v>#N/A</v>
      </c>
      <c r="H226" t="e">
        <f>VLOOKUP($F226,RecipeNotes!$A$2:$E$62,5,FALSE)</f>
        <v>#N/A</v>
      </c>
    </row>
    <row r="227" spans="1:8" x14ac:dyDescent="0.2">
      <c r="A227" t="s">
        <v>395</v>
      </c>
      <c r="B227">
        <v>1036</v>
      </c>
      <c r="C227">
        <v>6324</v>
      </c>
      <c r="D227" t="str">
        <f>VLOOKUP(B227,[1]ManipulationPage!$A$3:$D$541,4,FALSE)</f>
        <v>jam</v>
      </c>
      <c r="G227" t="e">
        <f>VLOOKUP($F227,RecipeNotes!$A$2:$E$62,3,FALSE)</f>
        <v>#N/A</v>
      </c>
      <c r="H227" t="e">
        <f>VLOOKUP($F227,RecipeNotes!$A$2:$E$62,5,FALSE)</f>
        <v>#N/A</v>
      </c>
    </row>
    <row r="228" spans="1:8" x14ac:dyDescent="0.2">
      <c r="A228" t="s">
        <v>395</v>
      </c>
      <c r="B228">
        <v>1138</v>
      </c>
      <c r="C228">
        <v>9898</v>
      </c>
      <c r="D228" t="str">
        <f>VLOOKUP(B228,[1]ManipulationPage!$A$3:$D$541,4,FALSE)</f>
        <v>jam</v>
      </c>
      <c r="G228" t="e">
        <f>VLOOKUP($F228,RecipeNotes!$A$2:$E$62,3,FALSE)</f>
        <v>#N/A</v>
      </c>
      <c r="H228" t="e">
        <f>VLOOKUP($F228,RecipeNotes!$A$2:$E$62,5,FALSE)</f>
        <v>#N/A</v>
      </c>
    </row>
    <row r="229" spans="1:8" x14ac:dyDescent="0.2">
      <c r="A229" t="s">
        <v>395</v>
      </c>
      <c r="B229">
        <v>1139</v>
      </c>
      <c r="C229">
        <v>9900</v>
      </c>
      <c r="D229" t="str">
        <f>VLOOKUP(B229,[1]ManipulationPage!$A$3:$D$541,4,FALSE)</f>
        <v>jam</v>
      </c>
      <c r="G229" t="e">
        <f>VLOOKUP($F229,RecipeNotes!$A$2:$E$62,3,FALSE)</f>
        <v>#N/A</v>
      </c>
      <c r="H229" t="e">
        <f>VLOOKUP($F229,RecipeNotes!$A$2:$E$62,5,FALSE)</f>
        <v>#N/A</v>
      </c>
    </row>
    <row r="230" spans="1:8" x14ac:dyDescent="0.2">
      <c r="A230" t="s">
        <v>395</v>
      </c>
      <c r="B230">
        <v>1108</v>
      </c>
      <c r="C230">
        <v>9838</v>
      </c>
      <c r="D230" t="str">
        <f>VLOOKUP(B230,[1]ManipulationPage!$A$3:$D$541,4,FALSE)</f>
        <v>jam</v>
      </c>
      <c r="G230" t="e">
        <f>VLOOKUP($F230,RecipeNotes!$A$2:$E$62,3,FALSE)</f>
        <v>#N/A</v>
      </c>
      <c r="H230" t="e">
        <f>VLOOKUP($F230,RecipeNotes!$A$2:$E$62,5,FALSE)</f>
        <v>#N/A</v>
      </c>
    </row>
    <row r="231" spans="1:8" x14ac:dyDescent="0.2">
      <c r="A231" t="s">
        <v>395</v>
      </c>
      <c r="B231">
        <v>1109</v>
      </c>
      <c r="C231">
        <v>9840</v>
      </c>
      <c r="D231" t="str">
        <f>VLOOKUP(B231,[1]ManipulationPage!$A$3:$D$541,4,FALSE)</f>
        <v>jam</v>
      </c>
      <c r="G231" t="e">
        <f>VLOOKUP($F231,RecipeNotes!$A$2:$E$62,3,FALSE)</f>
        <v>#N/A</v>
      </c>
      <c r="H231" t="e">
        <f>VLOOKUP($F231,RecipeNotes!$A$2:$E$62,5,FALSE)</f>
        <v>#N/A</v>
      </c>
    </row>
    <row r="232" spans="1:8" x14ac:dyDescent="0.2">
      <c r="A232" t="s">
        <v>395</v>
      </c>
      <c r="B232">
        <v>1040</v>
      </c>
      <c r="C232">
        <v>6332</v>
      </c>
      <c r="D232" t="str">
        <f>VLOOKUP(B232,[1]ManipulationPage!$A$3:$D$541,4,FALSE)</f>
        <v>jam</v>
      </c>
      <c r="G232" t="e">
        <f>VLOOKUP($F232,RecipeNotes!$A$2:$E$62,3,FALSE)</f>
        <v>#N/A</v>
      </c>
      <c r="H232" t="e">
        <f>VLOOKUP($F232,RecipeNotes!$A$2:$E$62,5,FALSE)</f>
        <v>#N/A</v>
      </c>
    </row>
    <row r="233" spans="1:8" x14ac:dyDescent="0.2">
      <c r="A233" t="s">
        <v>668</v>
      </c>
      <c r="B233">
        <v>1026</v>
      </c>
      <c r="C233">
        <v>6304</v>
      </c>
      <c r="D233" t="str">
        <f>VLOOKUP(B233,[1]ManipulationPage!$A$3:$D$541,4,FALSE)</f>
        <v>jam</v>
      </c>
      <c r="G233" t="e">
        <f>VLOOKUP($F233,RecipeNotes!$A$2:$E$62,3,FALSE)</f>
        <v>#N/A</v>
      </c>
      <c r="H233" t="e">
        <f>VLOOKUP($F233,RecipeNotes!$A$2:$E$62,5,FALSE)</f>
        <v>#N/A</v>
      </c>
    </row>
    <row r="234" spans="1:8" x14ac:dyDescent="0.2">
      <c r="A234" t="s">
        <v>753</v>
      </c>
      <c r="B234">
        <v>1024</v>
      </c>
      <c r="C234">
        <v>6300</v>
      </c>
      <c r="D234" t="str">
        <f>VLOOKUP(B234,[1]ManipulationPage!$A$3:$D$541,4,FALSE)</f>
        <v>jam</v>
      </c>
      <c r="G234" t="e">
        <f>VLOOKUP($F234,RecipeNotes!$A$2:$E$62,3,FALSE)</f>
        <v>#N/A</v>
      </c>
      <c r="H234" t="e">
        <f>VLOOKUP($F234,RecipeNotes!$A$2:$E$62,5,FALSE)</f>
        <v>#N/A</v>
      </c>
    </row>
    <row r="235" spans="1:8" x14ac:dyDescent="0.2">
      <c r="A235" t="s">
        <v>774</v>
      </c>
      <c r="B235">
        <v>1029</v>
      </c>
      <c r="C235">
        <v>6310</v>
      </c>
      <c r="D235" t="str">
        <f>VLOOKUP(B235,[1]ManipulationPage!$A$3:$D$541,4,FALSE)</f>
        <v>jam</v>
      </c>
      <c r="G235" t="e">
        <f>VLOOKUP($F235,RecipeNotes!$A$2:$E$62,3,FALSE)</f>
        <v>#N/A</v>
      </c>
      <c r="H235" t="e">
        <f>VLOOKUP($F235,RecipeNotes!$A$2:$E$62,5,FALSE)</f>
        <v>#N/A</v>
      </c>
    </row>
    <row r="236" spans="1:8" x14ac:dyDescent="0.2">
      <c r="A236" t="s">
        <v>775</v>
      </c>
      <c r="B236">
        <v>1030</v>
      </c>
      <c r="C236">
        <v>6312</v>
      </c>
      <c r="D236" t="str">
        <f>VLOOKUP(B236,[1]ManipulationPage!$A$3:$D$541,4,FALSE)</f>
        <v>jam</v>
      </c>
      <c r="G236" t="e">
        <f>VLOOKUP($F236,RecipeNotes!$A$2:$E$62,3,FALSE)</f>
        <v>#N/A</v>
      </c>
      <c r="H236" t="e">
        <f>VLOOKUP($F236,RecipeNotes!$A$2:$E$62,5,FALSE)</f>
        <v>#N/A</v>
      </c>
    </row>
    <row r="237" spans="1:8" x14ac:dyDescent="0.2">
      <c r="A237" t="s">
        <v>776</v>
      </c>
      <c r="B237">
        <v>1110</v>
      </c>
      <c r="C237">
        <v>9842</v>
      </c>
      <c r="D237" t="str">
        <f>VLOOKUP(B237,[1]ManipulationPage!$A$3:$D$541,4,FALSE)</f>
        <v>jam</v>
      </c>
      <c r="G237" t="e">
        <f>VLOOKUP($F237,RecipeNotes!$A$2:$E$62,3,FALSE)</f>
        <v>#N/A</v>
      </c>
      <c r="H237" t="e">
        <f>VLOOKUP($F237,RecipeNotes!$A$2:$E$62,5,FALSE)</f>
        <v>#N/A</v>
      </c>
    </row>
    <row r="238" spans="1:8" x14ac:dyDescent="0.2">
      <c r="A238" t="s">
        <v>776</v>
      </c>
      <c r="B238">
        <v>1043</v>
      </c>
      <c r="C238">
        <v>6338</v>
      </c>
      <c r="D238" t="str">
        <f>VLOOKUP(B238,[1]ManipulationPage!$A$3:$D$541,4,FALSE)</f>
        <v>jam</v>
      </c>
      <c r="G238" t="e">
        <f>VLOOKUP($F238,RecipeNotes!$A$2:$E$62,3,FALSE)</f>
        <v>#N/A</v>
      </c>
      <c r="H238" t="e">
        <f>VLOOKUP($F238,RecipeNotes!$A$2:$E$62,5,FALSE)</f>
        <v>#N/A</v>
      </c>
    </row>
    <row r="239" spans="1:8" x14ac:dyDescent="0.2">
      <c r="A239" t="s">
        <v>776</v>
      </c>
      <c r="B239">
        <v>1140</v>
      </c>
      <c r="C239">
        <v>9902</v>
      </c>
      <c r="D239" t="str">
        <f>VLOOKUP(B239,[1]ManipulationPage!$A$3:$D$541,4,FALSE)</f>
        <v>jam</v>
      </c>
      <c r="G239" t="e">
        <f>VLOOKUP($F239,RecipeNotes!$A$2:$E$62,3,FALSE)</f>
        <v>#N/A</v>
      </c>
      <c r="H239" t="e">
        <f>VLOOKUP($F239,RecipeNotes!$A$2:$E$62,5,FALSE)</f>
        <v>#N/A</v>
      </c>
    </row>
    <row r="240" spans="1:8" x14ac:dyDescent="0.2">
      <c r="A240" t="s">
        <v>777</v>
      </c>
      <c r="B240">
        <v>1141</v>
      </c>
      <c r="C240">
        <v>9904</v>
      </c>
      <c r="D240" t="str">
        <f>VLOOKUP(B240,[1]ManipulationPage!$A$3:$D$541,4,FALSE)</f>
        <v>jam</v>
      </c>
      <c r="G240" t="e">
        <f>VLOOKUP($F240,RecipeNotes!$A$2:$E$62,3,FALSE)</f>
        <v>#N/A</v>
      </c>
      <c r="H240" t="e">
        <f>VLOOKUP($F240,RecipeNotes!$A$2:$E$62,5,FALSE)</f>
        <v>#N/A</v>
      </c>
    </row>
    <row r="241" spans="1:8" x14ac:dyDescent="0.2">
      <c r="A241" t="s">
        <v>777</v>
      </c>
      <c r="B241">
        <v>1049</v>
      </c>
      <c r="C241">
        <v>7087</v>
      </c>
      <c r="D241" t="str">
        <f>VLOOKUP(B241,[1]ManipulationPage!$A$3:$D$541,4,FALSE)</f>
        <v>jam</v>
      </c>
      <c r="G241" t="e">
        <f>VLOOKUP($F241,RecipeNotes!$A$2:$E$62,3,FALSE)</f>
        <v>#N/A</v>
      </c>
      <c r="H241" t="e">
        <f>VLOOKUP($F241,RecipeNotes!$A$2:$E$62,5,FALSE)</f>
        <v>#N/A</v>
      </c>
    </row>
    <row r="242" spans="1:8" x14ac:dyDescent="0.2">
      <c r="A242" t="s">
        <v>777</v>
      </c>
      <c r="B242">
        <v>1111</v>
      </c>
      <c r="C242">
        <v>9844</v>
      </c>
      <c r="D242" t="str">
        <f>VLOOKUP(B242,[1]ManipulationPage!$A$3:$D$541,4,FALSE)</f>
        <v>jam</v>
      </c>
      <c r="G242" t="e">
        <f>VLOOKUP($F242,RecipeNotes!$A$2:$E$62,3,FALSE)</f>
        <v>#N/A</v>
      </c>
      <c r="H242" t="e">
        <f>VLOOKUP($F242,RecipeNotes!$A$2:$E$62,5,FALSE)</f>
        <v>#N/A</v>
      </c>
    </row>
    <row r="243" spans="1:8" x14ac:dyDescent="0.2">
      <c r="A243" t="s">
        <v>793</v>
      </c>
      <c r="B243">
        <v>1143</v>
      </c>
      <c r="C243">
        <v>9908</v>
      </c>
      <c r="D243" t="str">
        <f>VLOOKUP(B243,[1]ManipulationPage!$A$3:$D$541,4,FALSE)</f>
        <v>jam</v>
      </c>
      <c r="G243" t="e">
        <f>VLOOKUP($F243,RecipeNotes!$A$2:$E$62,3,FALSE)</f>
        <v>#N/A</v>
      </c>
      <c r="H243" t="e">
        <f>VLOOKUP($F243,RecipeNotes!$A$2:$E$62,5,FALSE)</f>
        <v>#N/A</v>
      </c>
    </row>
    <row r="244" spans="1:8" x14ac:dyDescent="0.2">
      <c r="A244" t="s">
        <v>793</v>
      </c>
      <c r="B244">
        <v>1142</v>
      </c>
      <c r="C244">
        <v>9906</v>
      </c>
      <c r="D244" t="str">
        <f>VLOOKUP(B244,[1]ManipulationPage!$A$3:$D$541,4,FALSE)</f>
        <v>jam</v>
      </c>
      <c r="G244" t="e">
        <f>VLOOKUP($F244,RecipeNotes!$A$2:$E$62,3,FALSE)</f>
        <v>#N/A</v>
      </c>
      <c r="H244" t="e">
        <f>VLOOKUP($F244,RecipeNotes!$A$2:$E$62,5,FALSE)</f>
        <v>#N/A</v>
      </c>
    </row>
    <row r="245" spans="1:8" x14ac:dyDescent="0.2">
      <c r="A245" t="s">
        <v>793</v>
      </c>
      <c r="B245">
        <v>1113</v>
      </c>
      <c r="C245">
        <v>9848</v>
      </c>
      <c r="D245" t="str">
        <f>VLOOKUP(B245,[1]ManipulationPage!$A$3:$D$541,4,FALSE)</f>
        <v>jam</v>
      </c>
      <c r="G245" t="e">
        <f>VLOOKUP($F245,RecipeNotes!$A$2:$E$62,3,FALSE)</f>
        <v>#N/A</v>
      </c>
      <c r="H245" t="e">
        <f>VLOOKUP($F245,RecipeNotes!$A$2:$E$62,5,FALSE)</f>
        <v>#N/A</v>
      </c>
    </row>
    <row r="246" spans="1:8" x14ac:dyDescent="0.2">
      <c r="A246" t="s">
        <v>793</v>
      </c>
      <c r="B246">
        <v>1035</v>
      </c>
      <c r="C246">
        <v>6322</v>
      </c>
      <c r="D246" t="str">
        <f>VLOOKUP(B246,[1]ManipulationPage!$A$3:$D$541,4,FALSE)</f>
        <v>jam</v>
      </c>
      <c r="G246" t="e">
        <f>VLOOKUP($F246,RecipeNotes!$A$2:$E$62,3,FALSE)</f>
        <v>#N/A</v>
      </c>
      <c r="H246" t="e">
        <f>VLOOKUP($F246,RecipeNotes!$A$2:$E$62,5,FALSE)</f>
        <v>#N/A</v>
      </c>
    </row>
    <row r="247" spans="1:8" x14ac:dyDescent="0.2">
      <c r="A247" t="s">
        <v>793</v>
      </c>
      <c r="B247">
        <v>1112</v>
      </c>
      <c r="C247">
        <v>9846</v>
      </c>
      <c r="D247" t="str">
        <f>VLOOKUP(B247,[1]ManipulationPage!$A$3:$D$541,4,FALSE)</f>
        <v>jam</v>
      </c>
      <c r="G247" t="e">
        <f>VLOOKUP($F247,RecipeNotes!$A$2:$E$62,3,FALSE)</f>
        <v>#N/A</v>
      </c>
      <c r="H247" t="e">
        <f>VLOOKUP($F247,RecipeNotes!$A$2:$E$62,5,FALSE)</f>
        <v>#N/A</v>
      </c>
    </row>
    <row r="248" spans="1:8" x14ac:dyDescent="0.2">
      <c r="A248" t="s">
        <v>793</v>
      </c>
      <c r="B248">
        <v>1034</v>
      </c>
      <c r="C248">
        <v>6320</v>
      </c>
      <c r="D248" t="str">
        <f>VLOOKUP(B248,[1]ManipulationPage!$A$3:$D$541,4,FALSE)</f>
        <v>jam</v>
      </c>
      <c r="G248" t="e">
        <f>VLOOKUP($F248,RecipeNotes!$A$2:$E$62,3,FALSE)</f>
        <v>#N/A</v>
      </c>
      <c r="H248" t="e">
        <f>VLOOKUP($F248,RecipeNotes!$A$2:$E$62,5,FALSE)</f>
        <v>#N/A</v>
      </c>
    </row>
    <row r="249" spans="1:8" x14ac:dyDescent="0.2">
      <c r="A249" t="s">
        <v>794</v>
      </c>
      <c r="B249">
        <v>1145</v>
      </c>
      <c r="C249">
        <v>9912</v>
      </c>
      <c r="D249" t="str">
        <f>VLOOKUP(B249,[1]ManipulationPage!$A$3:$D$541,4,FALSE)</f>
        <v>jam</v>
      </c>
      <c r="G249" t="e">
        <f>VLOOKUP($F249,RecipeNotes!$A$2:$E$62,3,FALSE)</f>
        <v>#N/A</v>
      </c>
      <c r="H249" t="e">
        <f>VLOOKUP($F249,RecipeNotes!$A$2:$E$62,5,FALSE)</f>
        <v>#N/A</v>
      </c>
    </row>
    <row r="250" spans="1:8" x14ac:dyDescent="0.2">
      <c r="A250" t="s">
        <v>794</v>
      </c>
      <c r="B250">
        <v>1144</v>
      </c>
      <c r="C250">
        <v>9910</v>
      </c>
      <c r="D250" t="str">
        <f>VLOOKUP(B250,[1]ManipulationPage!$A$3:$D$541,4,FALSE)</f>
        <v>jam</v>
      </c>
      <c r="G250" t="e">
        <f>VLOOKUP($F250,RecipeNotes!$A$2:$E$62,3,FALSE)</f>
        <v>#N/A</v>
      </c>
      <c r="H250" t="e">
        <f>VLOOKUP($F250,RecipeNotes!$A$2:$E$62,5,FALSE)</f>
        <v>#N/A</v>
      </c>
    </row>
    <row r="251" spans="1:8" x14ac:dyDescent="0.2">
      <c r="A251" t="s">
        <v>794</v>
      </c>
      <c r="B251">
        <v>1038</v>
      </c>
      <c r="C251">
        <v>6328</v>
      </c>
      <c r="D251" t="str">
        <f>VLOOKUP(B251,[1]ManipulationPage!$A$3:$D$541,4,FALSE)</f>
        <v>jam</v>
      </c>
      <c r="G251" t="e">
        <f>VLOOKUP($F251,RecipeNotes!$A$2:$E$62,3,FALSE)</f>
        <v>#N/A</v>
      </c>
      <c r="H251" t="e">
        <f>VLOOKUP($F251,RecipeNotes!$A$2:$E$62,5,FALSE)</f>
        <v>#N/A</v>
      </c>
    </row>
    <row r="252" spans="1:8" x14ac:dyDescent="0.2">
      <c r="A252" t="s">
        <v>794</v>
      </c>
      <c r="B252">
        <v>1044</v>
      </c>
      <c r="C252">
        <v>6336</v>
      </c>
      <c r="D252" t="str">
        <f>VLOOKUP(B252,[1]ManipulationPage!$A$3:$D$541,4,FALSE)</f>
        <v>jam</v>
      </c>
      <c r="G252" t="e">
        <f>VLOOKUP($F252,RecipeNotes!$A$2:$E$62,3,FALSE)</f>
        <v>#N/A</v>
      </c>
      <c r="H252" t="e">
        <f>VLOOKUP($F252,RecipeNotes!$A$2:$E$62,5,FALSE)</f>
        <v>#N/A</v>
      </c>
    </row>
    <row r="253" spans="1:8" x14ac:dyDescent="0.2">
      <c r="A253" t="s">
        <v>794</v>
      </c>
      <c r="B253">
        <v>1115</v>
      </c>
      <c r="C253">
        <v>9852</v>
      </c>
      <c r="D253" t="str">
        <f>VLOOKUP(B253,[1]ManipulationPage!$A$3:$D$541,4,FALSE)</f>
        <v>jam</v>
      </c>
      <c r="G253" t="e">
        <f>VLOOKUP($F253,RecipeNotes!$A$2:$E$62,3,FALSE)</f>
        <v>#N/A</v>
      </c>
      <c r="H253" t="e">
        <f>VLOOKUP($F253,RecipeNotes!$A$2:$E$62,5,FALSE)</f>
        <v>#N/A</v>
      </c>
    </row>
    <row r="254" spans="1:8" x14ac:dyDescent="0.2">
      <c r="A254" t="s">
        <v>794</v>
      </c>
      <c r="B254">
        <v>1114</v>
      </c>
      <c r="C254">
        <v>9850</v>
      </c>
      <c r="D254" t="str">
        <f>VLOOKUP(B254,[1]ManipulationPage!$A$3:$D$541,4,FALSE)</f>
        <v>jam</v>
      </c>
      <c r="G254" t="e">
        <f>VLOOKUP($F254,RecipeNotes!$A$2:$E$62,3,FALSE)</f>
        <v>#N/A</v>
      </c>
      <c r="H254" t="e">
        <f>VLOOKUP($F254,RecipeNotes!$A$2:$E$62,5,FALSE)</f>
        <v>#N/A</v>
      </c>
    </row>
    <row r="255" spans="1:8" x14ac:dyDescent="0.2">
      <c r="A255" t="s">
        <v>796</v>
      </c>
      <c r="B255">
        <v>1102</v>
      </c>
      <c r="C255">
        <v>9620</v>
      </c>
      <c r="D255" t="str">
        <f>VLOOKUP(B255,[1]ManipulationPage!$A$3:$D$541,4,FALSE)</f>
        <v>Jam</v>
      </c>
      <c r="G255" t="e">
        <f>VLOOKUP($F255,RecipeNotes!$A$2:$E$62,3,FALSE)</f>
        <v>#N/A</v>
      </c>
      <c r="H255" t="e">
        <f>VLOOKUP($F255,RecipeNotes!$A$2:$E$62,5,FALSE)</f>
        <v>#N/A</v>
      </c>
    </row>
    <row r="256" spans="1:8" x14ac:dyDescent="0.2">
      <c r="A256" t="s">
        <v>796</v>
      </c>
      <c r="B256">
        <v>1116</v>
      </c>
      <c r="C256">
        <v>9854</v>
      </c>
      <c r="D256" t="str">
        <f>VLOOKUP(B256,[1]ManipulationPage!$A$3:$D$541,4,FALSE)</f>
        <v>jam</v>
      </c>
      <c r="G256" t="e">
        <f>VLOOKUP($F256,RecipeNotes!$A$2:$E$62,3,FALSE)</f>
        <v>#N/A</v>
      </c>
      <c r="H256" t="e">
        <f>VLOOKUP($F256,RecipeNotes!$A$2:$E$62,5,FALSE)</f>
        <v>#N/A</v>
      </c>
    </row>
    <row r="257" spans="1:13" x14ac:dyDescent="0.2">
      <c r="A257" t="s">
        <v>796</v>
      </c>
      <c r="B257">
        <v>1146</v>
      </c>
      <c r="C257">
        <v>9914</v>
      </c>
      <c r="D257" t="str">
        <f>VLOOKUP(B257,[1]ManipulationPage!$A$3:$D$541,4,FALSE)</f>
        <v>jam</v>
      </c>
      <c r="G257" t="e">
        <f>VLOOKUP($F257,RecipeNotes!$A$2:$E$62,3,FALSE)</f>
        <v>#N/A</v>
      </c>
      <c r="H257" t="e">
        <f>VLOOKUP($F257,RecipeNotes!$A$2:$E$62,5,FALSE)</f>
        <v>#N/A</v>
      </c>
    </row>
    <row r="258" spans="1:13" x14ac:dyDescent="0.2">
      <c r="A258" t="s">
        <v>796</v>
      </c>
      <c r="B258">
        <v>1033</v>
      </c>
      <c r="C258">
        <v>6318</v>
      </c>
      <c r="D258" t="str">
        <f>VLOOKUP(B258,[1]ManipulationPage!$A$3:$D$541,4,FALSE)</f>
        <v>jam</v>
      </c>
      <c r="G258" t="e">
        <f>VLOOKUP($F258,RecipeNotes!$A$2:$E$62,3,FALSE)</f>
        <v>#N/A</v>
      </c>
      <c r="H258" t="e">
        <f>VLOOKUP($F258,RecipeNotes!$A$2:$E$62,5,FALSE)</f>
        <v>#N/A</v>
      </c>
    </row>
    <row r="259" spans="1:13" x14ac:dyDescent="0.2">
      <c r="A259" t="s">
        <v>797</v>
      </c>
      <c r="B259">
        <v>1147</v>
      </c>
      <c r="C259">
        <v>9916</v>
      </c>
      <c r="D259" t="str">
        <f>VLOOKUP(B259,[1]ManipulationPage!$A$3:$D$541,4,FALSE)</f>
        <v>jam</v>
      </c>
      <c r="G259" t="e">
        <f>VLOOKUP($F259,RecipeNotes!$A$2:$E$62,3,FALSE)</f>
        <v>#N/A</v>
      </c>
      <c r="H259" t="e">
        <f>VLOOKUP($F259,RecipeNotes!$A$2:$E$62,5,FALSE)</f>
        <v>#N/A</v>
      </c>
    </row>
    <row r="260" spans="1:13" x14ac:dyDescent="0.2">
      <c r="A260" t="s">
        <v>797</v>
      </c>
      <c r="B260">
        <v>1117</v>
      </c>
      <c r="C260">
        <v>9856</v>
      </c>
      <c r="D260" t="str">
        <f>VLOOKUP(B260,[1]ManipulationPage!$A$3:$D$541,4,FALSE)</f>
        <v>jam</v>
      </c>
      <c r="G260" t="e">
        <f>VLOOKUP($F260,RecipeNotes!$A$2:$E$62,3,FALSE)</f>
        <v>#N/A</v>
      </c>
      <c r="H260" t="e">
        <f>VLOOKUP($F260,RecipeNotes!$A$2:$E$62,5,FALSE)</f>
        <v>#N/A</v>
      </c>
    </row>
    <row r="261" spans="1:13" x14ac:dyDescent="0.2">
      <c r="A261" t="s">
        <v>797</v>
      </c>
      <c r="B261">
        <v>1037</v>
      </c>
      <c r="C261">
        <v>6326</v>
      </c>
      <c r="D261" t="str">
        <f>VLOOKUP(B261,[1]ManipulationPage!$A$3:$D$541,4,FALSE)</f>
        <v>jam</v>
      </c>
      <c r="G261" t="e">
        <f>VLOOKUP($F261,RecipeNotes!$A$2:$E$62,3,FALSE)</f>
        <v>#N/A</v>
      </c>
      <c r="H261" t="e">
        <f>VLOOKUP($F261,RecipeNotes!$A$2:$E$62,5,FALSE)</f>
        <v>#N/A</v>
      </c>
    </row>
    <row r="262" spans="1:13" x14ac:dyDescent="0.2">
      <c r="A262" t="s">
        <v>163</v>
      </c>
      <c r="B262">
        <v>197</v>
      </c>
      <c r="C262">
        <v>2056</v>
      </c>
      <c r="D262" t="str">
        <f>VLOOKUP(B262,[1]ManipulationPage!$A$3:$D$541,4,FALSE)</f>
        <v>Mash</v>
      </c>
      <c r="E262" t="s">
        <v>1386</v>
      </c>
      <c r="F262" t="s">
        <v>521</v>
      </c>
      <c r="G262" t="str">
        <f>VLOOKUP($F262,RecipeNotes!$A$2:$E$62,3,FALSE)</f>
        <v>Shortcut recipe: Mash your veggie with a blender or fork, mixing in some oil or butter for creaminess.</v>
      </c>
      <c r="H262" t="str">
        <f>VLOOKUP($F262,RecipeNotes!$A$2:$E$62,5,FALSE)</f>
        <v>Shortcut opskrift: Blend dine grøntsager med lidt smør/olie med en gaffel eller en blender.</v>
      </c>
      <c r="I262" t="s">
        <v>164</v>
      </c>
      <c r="J262" t="s">
        <v>165</v>
      </c>
      <c r="K262" t="s">
        <v>166</v>
      </c>
    </row>
    <row r="263" spans="1:13" x14ac:dyDescent="0.2">
      <c r="A263" t="s">
        <v>521</v>
      </c>
      <c r="B263">
        <v>102</v>
      </c>
      <c r="C263">
        <v>1487</v>
      </c>
      <c r="D263" t="str">
        <f>VLOOKUP(B263,[1]ManipulationPage!$A$3:$D$541,4,FALSE)</f>
        <v>Mash</v>
      </c>
      <c r="E263" t="s">
        <v>1386</v>
      </c>
      <c r="F263" t="s">
        <v>521</v>
      </c>
      <c r="G263" t="str">
        <f>VLOOKUP($F263,RecipeNotes!$A$2:$E$62,3,FALSE)</f>
        <v>Shortcut recipe: Mash your veggie with a blender or fork, mixing in some oil or butter for creaminess.</v>
      </c>
      <c r="H263" t="str">
        <f>VLOOKUP($F263,RecipeNotes!$A$2:$E$62,5,FALSE)</f>
        <v>Shortcut opskrift: Blend dine grøntsager med lidt smør/olie med en gaffel eller en blender.</v>
      </c>
      <c r="I263" t="s">
        <v>164</v>
      </c>
      <c r="J263" t="s">
        <v>165</v>
      </c>
      <c r="K263" t="s">
        <v>166</v>
      </c>
      <c r="M263" t="s">
        <v>522</v>
      </c>
    </row>
    <row r="264" spans="1:13" x14ac:dyDescent="0.2">
      <c r="A264" t="s">
        <v>524</v>
      </c>
      <c r="B264">
        <v>201</v>
      </c>
      <c r="C264">
        <v>2086</v>
      </c>
      <c r="D264" t="str">
        <f>VLOOKUP(B264,[1]ManipulationPage!$A$3:$D$541,4,FALSE)</f>
        <v>Mash</v>
      </c>
      <c r="E264" t="s">
        <v>1386</v>
      </c>
      <c r="F264" t="s">
        <v>521</v>
      </c>
      <c r="G264" t="str">
        <f>VLOOKUP($F264,RecipeNotes!$A$2:$E$62,3,FALSE)</f>
        <v>Shortcut recipe: Mash your veggie with a blender or fork, mixing in some oil or butter for creaminess.</v>
      </c>
      <c r="H264" t="str">
        <f>VLOOKUP($F264,RecipeNotes!$A$2:$E$62,5,FALSE)</f>
        <v>Shortcut opskrift: Blend dine grøntsager med lidt smør/olie med en gaffel eller en blender.</v>
      </c>
      <c r="I264" t="s">
        <v>164</v>
      </c>
      <c r="J264" t="s">
        <v>165</v>
      </c>
      <c r="K264" t="s">
        <v>166</v>
      </c>
    </row>
    <row r="265" spans="1:13" x14ac:dyDescent="0.2">
      <c r="A265" t="s">
        <v>603</v>
      </c>
      <c r="B265">
        <v>199</v>
      </c>
      <c r="C265">
        <v>2072</v>
      </c>
      <c r="D265" t="str">
        <f>VLOOKUP(B265,[1]ManipulationPage!$A$3:$D$541,4,FALSE)</f>
        <v>Mash</v>
      </c>
      <c r="E265" t="s">
        <v>1386</v>
      </c>
      <c r="F265" t="s">
        <v>521</v>
      </c>
      <c r="G265" t="str">
        <f>VLOOKUP($F265,RecipeNotes!$A$2:$E$62,3,FALSE)</f>
        <v>Shortcut recipe: Mash your veggie with a blender or fork, mixing in some oil or butter for creaminess.</v>
      </c>
      <c r="H265" t="str">
        <f>VLOOKUP($F265,RecipeNotes!$A$2:$E$62,5,FALSE)</f>
        <v>Shortcut opskrift: Blend dine grøntsager med lidt smør/olie med en gaffel eller en blender.</v>
      </c>
      <c r="I265" t="s">
        <v>164</v>
      </c>
      <c r="J265" t="s">
        <v>165</v>
      </c>
      <c r="K265" t="s">
        <v>166</v>
      </c>
    </row>
    <row r="266" spans="1:13" x14ac:dyDescent="0.2">
      <c r="A266" t="s">
        <v>198</v>
      </c>
      <c r="B266">
        <v>291</v>
      </c>
      <c r="C266">
        <v>2620</v>
      </c>
      <c r="D266" t="str">
        <f>VLOOKUP(B266,[1]ManipulationPage!$A$3:$D$541,4,FALSE)</f>
        <v>Mediterrenean</v>
      </c>
      <c r="E266" t="s">
        <v>1386</v>
      </c>
      <c r="F266" t="s">
        <v>545</v>
      </c>
      <c r="G266" t="str">
        <f>VLOOKUP($F266,RecipeNotes!$A$2:$E$62,3,FALSE)</f>
        <v>Shortcut recipe: Alternate between layers of thin-sliced veggies and sauce. Bake in the oven for 30+ minutes (180 degrees).</v>
      </c>
      <c r="H266" t="str">
        <f>VLOOKUP($F266,RecipeNotes!$A$2:$E$62,5,FALSE)</f>
        <v>Shortcut opskrift: Skift mellem lag a tyndt skårne grøntsager og din sovs. Bag i ovnen i +30 minutter ved 180 grader.</v>
      </c>
      <c r="I266" t="s">
        <v>199</v>
      </c>
      <c r="J266" t="s">
        <v>200</v>
      </c>
      <c r="K266" t="s">
        <v>201</v>
      </c>
    </row>
    <row r="267" spans="1:13" x14ac:dyDescent="0.2">
      <c r="A267" t="s">
        <v>357</v>
      </c>
      <c r="B267">
        <v>289</v>
      </c>
      <c r="C267">
        <v>2608</v>
      </c>
      <c r="D267" t="str">
        <f>VLOOKUP(B267,[1]ManipulationPage!$A$3:$D$541,4,FALSE)</f>
        <v>Mediterrenean</v>
      </c>
      <c r="E267" t="s">
        <v>1386</v>
      </c>
      <c r="F267" t="s">
        <v>545</v>
      </c>
      <c r="G267" t="str">
        <f>VLOOKUP($F267,RecipeNotes!$A$2:$E$62,3,FALSE)</f>
        <v>Shortcut recipe: Alternate between layers of thin-sliced veggies and sauce. Bake in the oven for 30+ minutes (180 degrees).</v>
      </c>
      <c r="H267" t="str">
        <f>VLOOKUP($F267,RecipeNotes!$A$2:$E$62,5,FALSE)</f>
        <v>Shortcut opskrift: Skift mellem lag a tyndt skårne grøntsager og din sovs. Bag i ovnen i +30 minutter ved 180 grader.</v>
      </c>
      <c r="I267" t="s">
        <v>199</v>
      </c>
      <c r="J267" t="s">
        <v>200</v>
      </c>
      <c r="K267" t="s">
        <v>201</v>
      </c>
    </row>
    <row r="268" spans="1:13" x14ac:dyDescent="0.2">
      <c r="A268" t="s">
        <v>545</v>
      </c>
      <c r="B268">
        <v>288</v>
      </c>
      <c r="C268">
        <v>2600</v>
      </c>
      <c r="D268" t="str">
        <f>VLOOKUP(B268,[1]ManipulationPage!$A$3:$D$541,4,FALSE)</f>
        <v>Mediterrenean</v>
      </c>
      <c r="E268" t="s">
        <v>1386</v>
      </c>
      <c r="F268" t="s">
        <v>545</v>
      </c>
      <c r="G268" t="str">
        <f>VLOOKUP($F268,RecipeNotes!$A$2:$E$62,3,FALSE)</f>
        <v>Shortcut recipe: Alternate between layers of thin-sliced veggies and sauce. Bake in the oven for 30+ minutes (180 degrees).</v>
      </c>
      <c r="H268" t="str">
        <f>VLOOKUP($F268,RecipeNotes!$A$2:$E$62,5,FALSE)</f>
        <v>Shortcut opskrift: Skift mellem lag a tyndt skårne grøntsager og din sovs. Bag i ovnen i +30 minutter ved 180 grader.</v>
      </c>
      <c r="I268" t="s">
        <v>199</v>
      </c>
      <c r="J268" t="s">
        <v>200</v>
      </c>
      <c r="K268" t="s">
        <v>201</v>
      </c>
      <c r="M268" t="s">
        <v>546</v>
      </c>
    </row>
    <row r="269" spans="1:13" x14ac:dyDescent="0.2">
      <c r="A269" t="s">
        <v>699</v>
      </c>
      <c r="B269">
        <v>602</v>
      </c>
      <c r="D269" t="str">
        <f>VLOOKUP(B269,[1]ManipulationPage!$A$3:$D$541,4,FALSE)</f>
        <v>Mediterrenean</v>
      </c>
      <c r="G269" t="e">
        <f>VLOOKUP($F269,RecipeNotes!$A$2:$E$62,3,FALSE)</f>
        <v>#N/A</v>
      </c>
      <c r="H269" t="e">
        <f>VLOOKUP($F269,RecipeNotes!$A$2:$E$62,5,FALSE)</f>
        <v>#N/A</v>
      </c>
    </row>
    <row r="270" spans="1:13" x14ac:dyDescent="0.2">
      <c r="A270" t="s">
        <v>900</v>
      </c>
      <c r="B270">
        <v>292</v>
      </c>
      <c r="C270">
        <v>2626</v>
      </c>
      <c r="D270" t="str">
        <f>VLOOKUP(B270,[1]ManipulationPage!$A$3:$D$541,4,FALSE)</f>
        <v>Mediterrenean</v>
      </c>
      <c r="E270" t="s">
        <v>1386</v>
      </c>
      <c r="F270" t="s">
        <v>545</v>
      </c>
      <c r="G270" t="str">
        <f>VLOOKUP($F270,RecipeNotes!$A$2:$E$62,3,FALSE)</f>
        <v>Shortcut recipe: Alternate between layers of thin-sliced veggies and sauce. Bake in the oven for 30+ minutes (180 degrees).</v>
      </c>
      <c r="H270" t="str">
        <f>VLOOKUP($F270,RecipeNotes!$A$2:$E$62,5,FALSE)</f>
        <v>Shortcut opskrift: Skift mellem lag a tyndt skårne grøntsager og din sovs. Bag i ovnen i +30 minutter ved 180 grader.</v>
      </c>
      <c r="I270" t="s">
        <v>199</v>
      </c>
      <c r="J270" t="s">
        <v>200</v>
      </c>
      <c r="K270" t="s">
        <v>201</v>
      </c>
    </row>
    <row r="271" spans="1:13" x14ac:dyDescent="0.2">
      <c r="A271" t="s">
        <v>155</v>
      </c>
      <c r="B271">
        <v>91</v>
      </c>
      <c r="C271">
        <v>1417</v>
      </c>
      <c r="D271" t="str">
        <f>VLOOKUP(B271,[1]ManipulationPage!$A$3:$D$541,4,FALSE)</f>
        <v>Mexico</v>
      </c>
      <c r="E271" t="s">
        <v>1386</v>
      </c>
      <c r="F271" t="s">
        <v>155</v>
      </c>
      <c r="G271" t="str">
        <f>VLOOKUP($F271,RecipeNotes!$A$2:$E$62,3,FALSE)</f>
        <v>Shortcut recipe: Fry onions and spices on a pan. Add veggies. Taste and balance with salt, sugar, sour, and umami. Add all in the burritos. Enjoy</v>
      </c>
      <c r="H271" t="str">
        <f>VLOOKUP($F271,RecipeNotes!$A$2:$E$62,5,FALSE)</f>
        <v>Shortcut opskrift: Steg løg og krydderier på panden. Tilføj grøntsager Smag til med salt, sukker, syre og umami. Tilføj alt i dine burritos.</v>
      </c>
      <c r="I271" t="s">
        <v>156</v>
      </c>
      <c r="J271" t="s">
        <v>157</v>
      </c>
      <c r="K271" t="s">
        <v>158</v>
      </c>
      <c r="M271" t="s">
        <v>159</v>
      </c>
    </row>
    <row r="272" spans="1:13" x14ac:dyDescent="0.2">
      <c r="A272" t="s">
        <v>155</v>
      </c>
      <c r="B272">
        <v>1072</v>
      </c>
      <c r="C272">
        <v>8316</v>
      </c>
      <c r="D272" t="str">
        <f>VLOOKUP(B272,[1]ManipulationPage!$A$3:$D$541,4,FALSE)</f>
        <v>Mexico</v>
      </c>
      <c r="E272" t="s">
        <v>1386</v>
      </c>
      <c r="F272" t="s">
        <v>155</v>
      </c>
      <c r="G272" t="str">
        <f>VLOOKUP($F272,RecipeNotes!$A$2:$E$62,3,FALSE)</f>
        <v>Shortcut recipe: Fry onions and spices on a pan. Add veggies. Taste and balance with salt, sugar, sour, and umami. Add all in the burritos. Enjoy</v>
      </c>
      <c r="H272" t="str">
        <f>VLOOKUP($F272,RecipeNotes!$A$2:$E$62,5,FALSE)</f>
        <v>Shortcut opskrift: Steg løg og krydderier på panden. Tilføj grøntsager Smag til med salt, sukker, syre og umami. Tilføj alt i dine burritos.</v>
      </c>
      <c r="I272" t="s">
        <v>156</v>
      </c>
      <c r="J272" t="s">
        <v>157</v>
      </c>
      <c r="K272" t="s">
        <v>158</v>
      </c>
      <c r="M272" t="s">
        <v>159</v>
      </c>
    </row>
    <row r="273" spans="1:13" x14ac:dyDescent="0.2">
      <c r="A273" t="s">
        <v>227</v>
      </c>
      <c r="B273">
        <v>1071</v>
      </c>
      <c r="C273">
        <v>8220</v>
      </c>
      <c r="D273" t="str">
        <f>VLOOKUP(B273,[1]ManipulationPage!$A$3:$D$541,4,FALSE)</f>
        <v>Mexico</v>
      </c>
      <c r="E273" t="s">
        <v>1386</v>
      </c>
      <c r="F273" t="s">
        <v>770</v>
      </c>
      <c r="G273" t="str">
        <f>VLOOKUP($F273,RecipeNotes!$A$2:$E$62,3,FALSE)</f>
        <v xml:space="preserve">Shortcut recipe: Fry onions and spices on a pan. Add veggies. Add water with stock/broth. Taste and balance with salt, sugar, sour, and umami.  </v>
      </c>
      <c r="H273" t="str">
        <f>VLOOKUP($F273,RecipeNotes!$A$2:$E$62,5,FALSE)</f>
        <v xml:space="preserve">Shortcut opskrift: Steg løg og krydderier på panden. Tilføj grøntsager Til føj vand med buillon. Smag til med salt, sukker, syre og umami.  </v>
      </c>
    </row>
    <row r="274" spans="1:13" x14ac:dyDescent="0.2">
      <c r="A274" t="s">
        <v>228</v>
      </c>
      <c r="B274">
        <v>137</v>
      </c>
      <c r="C274">
        <v>1711</v>
      </c>
      <c r="D274" t="str">
        <f>VLOOKUP(B274,[1]ManipulationPage!$A$3:$D$541,4,FALSE)</f>
        <v>Mexico</v>
      </c>
      <c r="E274" t="s">
        <v>1386</v>
      </c>
      <c r="F274" t="s">
        <v>770</v>
      </c>
      <c r="G274" t="str">
        <f>VLOOKUP($F274,RecipeNotes!$A$2:$E$62,3,FALSE)</f>
        <v xml:space="preserve">Shortcut recipe: Fry onions and spices on a pan. Add veggies. Add water with stock/broth. Taste and balance with salt, sugar, sour, and umami.  </v>
      </c>
      <c r="H274" t="str">
        <f>VLOOKUP($F274,RecipeNotes!$A$2:$E$62,5,FALSE)</f>
        <v xml:space="preserve">Shortcut opskrift: Steg løg og krydderier på panden. Tilføj grøntsager Til føj vand med buillon. Smag til med salt, sukker, syre og umami.  </v>
      </c>
      <c r="I274" t="s">
        <v>229</v>
      </c>
      <c r="J274" t="s">
        <v>230</v>
      </c>
      <c r="K274" t="s">
        <v>231</v>
      </c>
    </row>
    <row r="275" spans="1:13" x14ac:dyDescent="0.2">
      <c r="A275" t="s">
        <v>278</v>
      </c>
      <c r="B275">
        <v>104</v>
      </c>
      <c r="C275">
        <v>1503</v>
      </c>
      <c r="D275" t="str">
        <f>VLOOKUP(B275,[1]ManipulationPage!$A$3:$D$541,4,FALSE)</f>
        <v>Mexico</v>
      </c>
      <c r="E275" t="s">
        <v>1386</v>
      </c>
      <c r="F275" t="s">
        <v>155</v>
      </c>
      <c r="G275" t="str">
        <f>VLOOKUP($F275,RecipeNotes!$A$2:$E$62,3,FALSE)</f>
        <v>Shortcut recipe: Fry onions and spices on a pan. Add veggies. Taste and balance with salt, sugar, sour, and umami. Add all in the burritos. Enjoy</v>
      </c>
      <c r="H275" t="str">
        <f>VLOOKUP($F275,RecipeNotes!$A$2:$E$62,5,FALSE)</f>
        <v>Shortcut opskrift: Steg løg og krydderier på panden. Tilføj grøntsager Smag til med salt, sukker, syre og umami. Tilføj alt i dine burritos.</v>
      </c>
      <c r="I275" t="s">
        <v>170</v>
      </c>
      <c r="J275" t="s">
        <v>171</v>
      </c>
      <c r="K275" t="s">
        <v>172</v>
      </c>
    </row>
    <row r="276" spans="1:13" x14ac:dyDescent="0.2">
      <c r="A276" t="s">
        <v>442</v>
      </c>
      <c r="B276">
        <v>40</v>
      </c>
      <c r="C276">
        <v>1197</v>
      </c>
      <c r="D276" t="str">
        <f>VLOOKUP(B276,[1]ManipulationPage!$A$3:$D$541,4,FALSE)</f>
        <v>Mexico</v>
      </c>
      <c r="E276" t="s">
        <v>1386</v>
      </c>
      <c r="F276" t="s">
        <v>442</v>
      </c>
      <c r="G276" t="str">
        <f>VLOOKUP($F276,RecipeNotes!$A$2:$E$62,3,FALSE)</f>
        <v>Shortcut recipe: Cut and mix ingredients. Mash with fork. Add oil, sours, salt, and sugar.</v>
      </c>
      <c r="H276" t="str">
        <f>VLOOKUP($F276,RecipeNotes!$A$2:$E$62,5,FALSE)</f>
        <v>Shortcut opskrift: Skær og bland ingredienser. Blend med en gaffel eller blender. Smag til med olie, syre, salt og sukker.</v>
      </c>
      <c r="I276" t="s">
        <v>443</v>
      </c>
      <c r="J276" t="s">
        <v>444</v>
      </c>
      <c r="K276" t="s">
        <v>445</v>
      </c>
    </row>
    <row r="277" spans="1:13" x14ac:dyDescent="0.2">
      <c r="A277" t="s">
        <v>442</v>
      </c>
      <c r="B277">
        <v>788</v>
      </c>
      <c r="C277">
        <v>3747</v>
      </c>
      <c r="D277" t="str">
        <f>VLOOKUP(B277,[1]ManipulationPage!$A$3:$D$541,4,FALSE)</f>
        <v>Mexico</v>
      </c>
      <c r="E277" t="s">
        <v>1386</v>
      </c>
      <c r="F277" t="s">
        <v>442</v>
      </c>
      <c r="G277" t="str">
        <f>VLOOKUP($F277,RecipeNotes!$A$2:$E$62,3,FALSE)</f>
        <v>Shortcut recipe: Cut and mix ingredients. Mash with fork. Add oil, sours, salt, and sugar.</v>
      </c>
      <c r="H277" t="str">
        <f>VLOOKUP($F277,RecipeNotes!$A$2:$E$62,5,FALSE)</f>
        <v>Shortcut opskrift: Skær og bland ingredienser. Blend med en gaffel eller blender. Smag til med olie, syre, salt og sukker.</v>
      </c>
    </row>
    <row r="278" spans="1:13" x14ac:dyDescent="0.2">
      <c r="A278" t="s">
        <v>452</v>
      </c>
      <c r="B278">
        <v>693</v>
      </c>
      <c r="C278">
        <v>3550</v>
      </c>
      <c r="D278" t="str">
        <f>VLOOKUP(B278,[1]ManipulationPage!$A$3:$D$541,4,FALSE)</f>
        <v>Mexico</v>
      </c>
      <c r="G278" t="e">
        <f>VLOOKUP($F278,RecipeNotes!$A$2:$E$62,3,FALSE)</f>
        <v>#N/A</v>
      </c>
      <c r="H278" t="e">
        <f>VLOOKUP($F278,RecipeNotes!$A$2:$E$62,5,FALSE)</f>
        <v>#N/A</v>
      </c>
      <c r="I278" t="s">
        <v>453</v>
      </c>
    </row>
    <row r="279" spans="1:13" x14ac:dyDescent="0.2">
      <c r="A279" t="s">
        <v>504</v>
      </c>
      <c r="B279">
        <v>251</v>
      </c>
      <c r="C279">
        <v>2374</v>
      </c>
      <c r="D279" t="str">
        <f>VLOOKUP(B279,[1]ManipulationPage!$A$3:$D$541,4,FALSE)</f>
        <v>Mexico</v>
      </c>
      <c r="E279" t="s">
        <v>1386</v>
      </c>
      <c r="F279" t="s">
        <v>155</v>
      </c>
      <c r="G279" t="str">
        <f>VLOOKUP($F279,RecipeNotes!$A$2:$E$62,3,FALSE)</f>
        <v>Shortcut recipe: Fry onions and spices on a pan. Add veggies. Taste and balance with salt, sugar, sour, and umami. Add all in the burritos. Enjoy</v>
      </c>
      <c r="H279" t="str">
        <f>VLOOKUP($F279,RecipeNotes!$A$2:$E$62,5,FALSE)</f>
        <v>Shortcut opskrift: Steg løg og krydderier på panden. Tilføj grøntsager Smag til med salt, sukker, syre og umami. Tilføj alt i dine burritos.</v>
      </c>
      <c r="I279" t="s">
        <v>156</v>
      </c>
      <c r="J279" t="s">
        <v>157</v>
      </c>
      <c r="K279" t="s">
        <v>158</v>
      </c>
    </row>
    <row r="280" spans="1:13" x14ac:dyDescent="0.2">
      <c r="A280" t="s">
        <v>531</v>
      </c>
      <c r="B280">
        <v>960</v>
      </c>
      <c r="C280">
        <v>4907</v>
      </c>
      <c r="D280" t="str">
        <f>VLOOKUP(B280,[1]ManipulationPage!$A$3:$D$541,4,FALSE)</f>
        <v>Mexico</v>
      </c>
      <c r="E280" t="s">
        <v>1386</v>
      </c>
      <c r="F280" t="s">
        <v>604</v>
      </c>
      <c r="G280" t="str">
        <f>VLOOKUP($F280,RecipeNotes!$A$2:$E$62,3,FALSE)</f>
        <v>Shortcut recipe: Fry onions and spices on a pan. Mix with cooked pasta, including a cup of the pasta water (for creamy consistency).</v>
      </c>
      <c r="H280" t="str">
        <f>VLOOKUP($F280,RecipeNotes!$A$2:$E$62,5,FALSE)</f>
        <v>Shortcut opskrift: Steg løg og krydderier på panden. Ibland den kogte pasta med en kop pasta vand.</v>
      </c>
      <c r="I280" t="s">
        <v>27</v>
      </c>
      <c r="J280" t="s">
        <v>28</v>
      </c>
      <c r="K280" t="s">
        <v>29</v>
      </c>
      <c r="L280" t="s">
        <v>30</v>
      </c>
      <c r="M280" t="s">
        <v>31</v>
      </c>
    </row>
    <row r="281" spans="1:13" x14ac:dyDescent="0.2">
      <c r="A281" t="s">
        <v>531</v>
      </c>
      <c r="B281">
        <v>932</v>
      </c>
      <c r="D281" t="str">
        <f>VLOOKUP(B281,[1]ManipulationPage!$A$3:$D$541,4,FALSE)</f>
        <v>Mexico</v>
      </c>
      <c r="E281" t="s">
        <v>1386</v>
      </c>
      <c r="F281" t="s">
        <v>604</v>
      </c>
      <c r="G281" t="str">
        <f>VLOOKUP($F281,RecipeNotes!$A$2:$E$62,3,FALSE)</f>
        <v>Shortcut recipe: Fry onions and spices on a pan. Mix with cooked pasta, including a cup of the pasta water (for creamy consistency).</v>
      </c>
      <c r="H281" t="str">
        <f>VLOOKUP($F281,RecipeNotes!$A$2:$E$62,5,FALSE)</f>
        <v>Shortcut opskrift: Steg løg og krydderier på panden. Ibland den kogte pasta med en kop pasta vand.</v>
      </c>
    </row>
    <row r="282" spans="1:13" x14ac:dyDescent="0.2">
      <c r="A282" t="s">
        <v>532</v>
      </c>
      <c r="B282">
        <v>7</v>
      </c>
      <c r="C282">
        <v>991</v>
      </c>
      <c r="D282" t="str">
        <f>VLOOKUP(B282,[1]ManipulationPage!$A$3:$D$541,4,FALSE)</f>
        <v>Mexico</v>
      </c>
      <c r="E282" t="s">
        <v>1386</v>
      </c>
      <c r="F282" t="s">
        <v>618</v>
      </c>
      <c r="G282" t="str">
        <f>VLOOKUP($F282,RecipeNotes!$A$2:$E$62,3,FALSE)</f>
        <v>Shortcut recipe: Make your suco of fried onions, spices, and your choice of paste. Add to pizza with your choice of veggies.</v>
      </c>
      <c r="H282" t="str">
        <f>VLOOKUP($F282,RecipeNotes!$A$2:$E$62,5,FALSE)</f>
        <v>Shortcut opskrift: Smør din pizza sauce i tyndt lag (lavet af løg, krydderier og din sauce stegt på en pande). Tilføj dine grøntsager på toppen.</v>
      </c>
      <c r="I282" t="s">
        <v>156</v>
      </c>
      <c r="J282" t="s">
        <v>157</v>
      </c>
      <c r="K282" t="s">
        <v>158</v>
      </c>
    </row>
    <row r="283" spans="1:13" x14ac:dyDescent="0.2">
      <c r="A283" t="s">
        <v>534</v>
      </c>
      <c r="B283">
        <v>995</v>
      </c>
      <c r="C283">
        <v>5534</v>
      </c>
      <c r="D283" t="str">
        <f>VLOOKUP(B283,[1]ManipulationPage!$A$3:$D$541,4,FALSE)</f>
        <v>Mexico</v>
      </c>
      <c r="E283" t="s">
        <v>1386</v>
      </c>
      <c r="F283" t="s">
        <v>698</v>
      </c>
      <c r="G283" t="str">
        <f>VLOOKUP($F283,RecipeNotes!$A$2:$E$62,3,FALSE)</f>
        <v xml:space="preserve">Shortcut recipe: Cut and mix all ingredients. Taste and balance with salt, sugar, sour, and umami.  </v>
      </c>
      <c r="H283" t="str">
        <f>VLOOKUP($F283,RecipeNotes!$A$2:$E$62,5,FALSE)</f>
        <v xml:space="preserve">Shortcut opskrift: Skær og bland alle ingredienser. Smag til med salt, sukker, syre og umami.  </v>
      </c>
      <c r="I283" t="s">
        <v>17</v>
      </c>
      <c r="J283" t="s">
        <v>220</v>
      </c>
      <c r="K283" t="s">
        <v>18</v>
      </c>
      <c r="L283" t="s">
        <v>535</v>
      </c>
      <c r="M283" t="s">
        <v>20</v>
      </c>
    </row>
    <row r="284" spans="1:13" x14ac:dyDescent="0.2">
      <c r="A284" t="s">
        <v>562</v>
      </c>
      <c r="B284">
        <v>286</v>
      </c>
      <c r="C284">
        <v>2586</v>
      </c>
      <c r="D284" t="str">
        <f>VLOOKUP(B284,[1]ManipulationPage!$A$3:$D$541,4,FALSE)</f>
        <v>Mexico</v>
      </c>
      <c r="G284" t="e">
        <f>VLOOKUP($F284,RecipeNotes!$A$2:$E$62,3,FALSE)</f>
        <v>#N/A</v>
      </c>
      <c r="H284" t="e">
        <f>VLOOKUP($F284,RecipeNotes!$A$2:$E$62,5,FALSE)</f>
        <v>#N/A</v>
      </c>
      <c r="I284" t="s">
        <v>156</v>
      </c>
      <c r="J284" t="s">
        <v>157</v>
      </c>
      <c r="K284" t="s">
        <v>158</v>
      </c>
    </row>
    <row r="285" spans="1:13" x14ac:dyDescent="0.2">
      <c r="A285" t="s">
        <v>857</v>
      </c>
      <c r="B285">
        <v>14</v>
      </c>
      <c r="C285">
        <v>1039</v>
      </c>
      <c r="D285" t="str">
        <f>VLOOKUP(B285,[1]ManipulationPage!$A$3:$D$541,4,FALSE)</f>
        <v>Mexico</v>
      </c>
      <c r="E285" t="s">
        <v>1386</v>
      </c>
      <c r="F285" t="s">
        <v>1637</v>
      </c>
      <c r="G285" t="e">
        <f>VLOOKUP($F285,RecipeNotes!$A$2:$E$62,3,FALSE)</f>
        <v>#N/A</v>
      </c>
      <c r="H285" t="e">
        <f>VLOOKUP($F285,RecipeNotes!$A$2:$E$62,5,FALSE)</f>
        <v>#N/A</v>
      </c>
      <c r="I285" t="s">
        <v>844</v>
      </c>
      <c r="J285" t="s">
        <v>845</v>
      </c>
      <c r="K285" t="s">
        <v>846</v>
      </c>
    </row>
    <row r="286" spans="1:13" x14ac:dyDescent="0.2">
      <c r="A286" t="s">
        <v>41</v>
      </c>
      <c r="B286">
        <v>21</v>
      </c>
      <c r="C286">
        <v>1089</v>
      </c>
      <c r="D286" t="str">
        <f>VLOOKUP(B286,[1]ManipulationPage!$A$3:$D$541,4,FALSE)</f>
        <v>Middle East</v>
      </c>
      <c r="E286">
        <v>2</v>
      </c>
      <c r="F286" t="s">
        <v>354</v>
      </c>
      <c r="G286" t="str">
        <f>VLOOKUP($F286,RecipeNotes!$A$2:$E$62,3,FALSE)</f>
        <v>Shortcut recipe: Cook then mash with a blender or fork. Taste and balance with salt, sugar, sour, and umami.</v>
      </c>
      <c r="H286" t="str">
        <f>VLOOKUP($F286,RecipeNotes!$A$2:$E$62,5,FALSE)</f>
        <v>Shortcut opskrift: Kog og blend derefter med en gaffel eller blender. Smag til med salt, sukker, syre og umami.</v>
      </c>
      <c r="I286" t="s">
        <v>42</v>
      </c>
      <c r="J286" t="s">
        <v>43</v>
      </c>
      <c r="K286" t="s">
        <v>44</v>
      </c>
    </row>
    <row r="287" spans="1:13" x14ac:dyDescent="0.2">
      <c r="A287" t="s">
        <v>151</v>
      </c>
      <c r="B287">
        <v>284</v>
      </c>
      <c r="C287">
        <v>2574</v>
      </c>
      <c r="D287" t="str">
        <f>VLOOKUP(B287,[1]ManipulationPage!$A$3:$D$541,4,FALSE)</f>
        <v>Middle East</v>
      </c>
      <c r="E287" t="s">
        <v>1386</v>
      </c>
      <c r="F287" t="s">
        <v>192</v>
      </c>
      <c r="G287" t="str">
        <f>VLOOKUP($F287,RecipeNotes!$A$2:$E$62,3,FALSE)</f>
        <v>Shortcut recipe: Put a layer of cooked grains on-top of your sauce. Bake in the oven for 30+ minutes (180 degrees)</v>
      </c>
      <c r="H287" t="str">
        <f>VLOOKUP($F287,RecipeNotes!$A$2:$E$62,5,FALSE)</f>
        <v>Shortcut opskrift: Put et lag af dine kogte korn på toppen. Bag i ovnen i +30 minutter ved 180 grader.</v>
      </c>
      <c r="I287" t="s">
        <v>47</v>
      </c>
      <c r="J287" t="s">
        <v>48</v>
      </c>
      <c r="K287" t="s">
        <v>49</v>
      </c>
    </row>
    <row r="288" spans="1:13" x14ac:dyDescent="0.2">
      <c r="A288" t="s">
        <v>304</v>
      </c>
      <c r="B288">
        <v>993</v>
      </c>
      <c r="C288">
        <v>5506</v>
      </c>
      <c r="D288" t="str">
        <f>VLOOKUP(B288,[1]ManipulationPage!$A$3:$D$541,4,FALSE)</f>
        <v>Middle East</v>
      </c>
      <c r="E288" t="s">
        <v>1386</v>
      </c>
      <c r="F288" t="s">
        <v>698</v>
      </c>
      <c r="G288" t="str">
        <f>VLOOKUP($F288,RecipeNotes!$A$2:$E$62,3,FALSE)</f>
        <v xml:space="preserve">Shortcut recipe: Cut and mix all ingredients. Taste and balance with salt, sugar, sour, and umami.  </v>
      </c>
      <c r="H288" t="str">
        <f>VLOOKUP($F288,RecipeNotes!$A$2:$E$62,5,FALSE)</f>
        <v xml:space="preserve">Shortcut opskrift: Skær og bland alle ingredienser. Smag til med salt, sukker, syre og umami.  </v>
      </c>
      <c r="I288" t="s">
        <v>17</v>
      </c>
      <c r="J288" t="s">
        <v>220</v>
      </c>
      <c r="K288" t="s">
        <v>18</v>
      </c>
      <c r="L288" t="s">
        <v>19</v>
      </c>
      <c r="M288" t="s">
        <v>20</v>
      </c>
    </row>
    <row r="289" spans="1:13" x14ac:dyDescent="0.2">
      <c r="A289" t="s">
        <v>367</v>
      </c>
      <c r="B289">
        <v>64</v>
      </c>
      <c r="C289">
        <v>1313</v>
      </c>
      <c r="D289" t="str">
        <f>VLOOKUP(B289,[1]ManipulationPage!$A$3:$D$541,4,FALSE)</f>
        <v>Middle East</v>
      </c>
      <c r="E289">
        <v>2</v>
      </c>
      <c r="F289" t="s">
        <v>367</v>
      </c>
      <c r="G289" t="str">
        <f>VLOOKUP($F289,RecipeNotes!$A$2:$E$62,3,FALSE)</f>
        <v xml:space="preserve"> Shortcut recipe: Mash ingredients into a hummus with a fork or a blender. Shape patties in your hands and fry them on a pan with oil (5 minutes on each side).</v>
      </c>
      <c r="H289" t="str">
        <f>VLOOKUP($F289,RecipeNotes!$A$2:$E$62,5,FALSE)</f>
        <v xml:space="preserve"> Shortcut opskrift. Blend ingredienserne til hummus med en ske eller blender. Form bøfferne i hænderne og steg i olie ca 5 minutter per side.</v>
      </c>
      <c r="I289" t="s">
        <v>368</v>
      </c>
      <c r="J289" t="s">
        <v>369</v>
      </c>
      <c r="K289" t="s">
        <v>370</v>
      </c>
    </row>
    <row r="290" spans="1:13" x14ac:dyDescent="0.2">
      <c r="A290" t="s">
        <v>455</v>
      </c>
      <c r="B290">
        <v>20</v>
      </c>
      <c r="C290">
        <v>1085</v>
      </c>
      <c r="D290" t="str">
        <f>VLOOKUP(B290,[1]ManipulationPage!$A$3:$D$541,4,FALSE)</f>
        <v>Middle East</v>
      </c>
      <c r="E290">
        <v>2</v>
      </c>
      <c r="F290" t="s">
        <v>455</v>
      </c>
      <c r="G290" t="str">
        <f>VLOOKUP($F290,RecipeNotes!$A$2:$E$62,3,FALSE)</f>
        <v>Add your veggies and condiments. Shortcut recipe: Mix cooked chickpeas with rest of ingredients. Mash with a blender or fork, and add salt and lemon to taste.</v>
      </c>
      <c r="H290" t="str">
        <f>VLOOKUP($F290,RecipeNotes!$A$2:$E$62,5,FALSE)</f>
        <v>Tilføj dine grøntsager og saucer. Shortcut opskrift: Bland kogte kikærter med resten af ingredienserne. Blend med en gaffel eller blender. Smag til med citron og salt.</v>
      </c>
      <c r="I290" t="s">
        <v>87</v>
      </c>
      <c r="J290" t="s">
        <v>88</v>
      </c>
      <c r="K290" t="s">
        <v>89</v>
      </c>
    </row>
    <row r="291" spans="1:13" x14ac:dyDescent="0.2">
      <c r="A291" t="s">
        <v>717</v>
      </c>
      <c r="B291">
        <v>142</v>
      </c>
      <c r="C291">
        <v>1749</v>
      </c>
      <c r="D291" t="str">
        <f>VLOOKUP(B291,[1]ManipulationPage!$A$3:$D$541,4,FALSE)</f>
        <v>Middle East</v>
      </c>
      <c r="E291">
        <v>2</v>
      </c>
      <c r="F291" t="s">
        <v>717</v>
      </c>
      <c r="G291" t="str">
        <f>VLOOKUP($F291,RecipeNotes!$A$2:$E$62,3,FALSE)</f>
        <v>Shortcut recipe: Fry onions and spices on a pan. Add your veggies and condiments. Use your large spoon to make small wells in the sauce and crack the eggs into each well. Cover the pan and cook for 5-8 minutes.</v>
      </c>
      <c r="H291" t="str">
        <f>VLOOKUP($F291,RecipeNotes!$A$2:$E$62,5,FALSE)</f>
        <v>Shortcut opskrift: Steg løg og krydderier på panden. Tilføj dine grøntsager og saucer. Brug en stor ske til at lave små kanaler i suacen og hæld æggene deri. Put låg på og kog i 5-10 minutter.</v>
      </c>
      <c r="I291" t="s">
        <v>718</v>
      </c>
      <c r="J291" t="s">
        <v>719</v>
      </c>
      <c r="K291" t="s">
        <v>718</v>
      </c>
    </row>
    <row r="292" spans="1:13" x14ac:dyDescent="0.2">
      <c r="A292" t="s">
        <v>781</v>
      </c>
      <c r="B292">
        <v>254</v>
      </c>
      <c r="C292">
        <v>2396</v>
      </c>
      <c r="D292" t="str">
        <f>VLOOKUP(B292,[1]ManipulationPage!$A$3:$D$541,4,FALSE)</f>
        <v>Middle East</v>
      </c>
      <c r="E292">
        <v>2</v>
      </c>
      <c r="F292" t="s">
        <v>1646</v>
      </c>
      <c r="G292" t="str">
        <f>VLOOKUP($F292,RecipeNotes!$A$2:$E$62,3,FALSE)</f>
        <v>Shortcut recipe: Fry onions and spices on a pan. Put all veggies and condiments into the veggie and roast it all in the oven for 20-30 minutes or until tender.</v>
      </c>
      <c r="H292" t="str">
        <f>VLOOKUP($F292,RecipeNotes!$A$2:$E$62,5,FALSE)</f>
        <v>Shortcut opskrift: Steg løg og krydderier på panden. Put all grøntsager og krydderier ind i beholderen og bag i ovnen i 20-30 minutter.</v>
      </c>
      <c r="I292" t="s">
        <v>782</v>
      </c>
      <c r="J292" t="s">
        <v>783</v>
      </c>
      <c r="K292" t="s">
        <v>784</v>
      </c>
    </row>
    <row r="293" spans="1:13" x14ac:dyDescent="0.2">
      <c r="A293" t="s">
        <v>811</v>
      </c>
      <c r="B293">
        <v>1001</v>
      </c>
      <c r="C293">
        <v>5634</v>
      </c>
      <c r="D293" t="str">
        <f>VLOOKUP(B293,[1]ManipulationPage!$A$3:$D$541,4,FALSE)</f>
        <v>Middle East</v>
      </c>
      <c r="E293">
        <v>2</v>
      </c>
      <c r="F293" t="s">
        <v>811</v>
      </c>
      <c r="G293" t="str">
        <f>VLOOKUP($F293,RecipeNotes!$A$2:$E$62,3,FALSE)</f>
        <v>Shortcut recipe: Cut and mix all ingredients. This dish should be a little fresh and sour.</v>
      </c>
      <c r="H293" t="str">
        <f>VLOOKUP($F293,RecipeNotes!$A$2:$E$62,5,FALSE)</f>
        <v>Shortcut opskrift: Skær og bland alle ingredienser. Retten skal være en smule frisk og syrlig.</v>
      </c>
      <c r="I293" t="s">
        <v>812</v>
      </c>
      <c r="J293" t="s">
        <v>813</v>
      </c>
      <c r="K293" t="s">
        <v>814</v>
      </c>
      <c r="L293" t="s">
        <v>815</v>
      </c>
      <c r="M293" t="s">
        <v>816</v>
      </c>
    </row>
    <row r="294" spans="1:13" x14ac:dyDescent="0.2">
      <c r="A294" t="s">
        <v>818</v>
      </c>
      <c r="B294">
        <v>16</v>
      </c>
      <c r="C294">
        <v>1053</v>
      </c>
      <c r="D294" t="str">
        <f>VLOOKUP(B294,[1]ManipulationPage!$A$3:$D$541,4,FALSE)</f>
        <v>Middle East</v>
      </c>
      <c r="E294" t="s">
        <v>1386</v>
      </c>
      <c r="F294" t="s">
        <v>818</v>
      </c>
      <c r="G294" t="str">
        <f>VLOOKUP($F294,RecipeNotes!$A$2:$E$62,3,FALSE)</f>
        <v>Shortcut recipe: Fry onions and spices on a pan. Add veggies. Taste and balance with salt, sugar, sour, and umami.</v>
      </c>
      <c r="H294" t="str">
        <f>VLOOKUP($F294,RecipeNotes!$A$2:$E$62,5,FALSE)</f>
        <v>Shortcut opskrift: Steg løg og krydderier på panden. Tilføj grøntsager Smag til med salt, sukker, syre og umami.</v>
      </c>
      <c r="I294" t="s">
        <v>819</v>
      </c>
      <c r="J294" t="s">
        <v>819</v>
      </c>
      <c r="K294" t="s">
        <v>820</v>
      </c>
    </row>
    <row r="295" spans="1:13" x14ac:dyDescent="0.2">
      <c r="A295" t="s">
        <v>119</v>
      </c>
      <c r="B295">
        <v>57</v>
      </c>
      <c r="C295">
        <v>1265</v>
      </c>
      <c r="D295" t="str">
        <f>VLOOKUP(B295,[1]ManipulationPage!$A$3:$D$541,4,FALSE)</f>
        <v>Northern Europe</v>
      </c>
      <c r="E295" t="s">
        <v>1386</v>
      </c>
      <c r="F295" t="s">
        <v>119</v>
      </c>
      <c r="G295" t="str">
        <f>VLOOKUP($F295,RecipeNotes!$A$2:$E$62,3,FALSE)</f>
        <v>Shortcut recipe: Fry onions and spices on a pan. Add the beets Add water with stock/broth. Blend the soup. Taste and balance with salt, sugar, sour, and umami.</v>
      </c>
      <c r="H295" t="str">
        <f>VLOOKUP($F295,RecipeNotes!$A$2:$E$62,5,FALSE)</f>
        <v>Shortcut opskrift: Steg løg og krydderier på panden. Tilføj rødbederne. Til føj vand med buillon. Blend suppen. Smag til med salt, sukker, syre og umami.</v>
      </c>
      <c r="I295" t="s">
        <v>120</v>
      </c>
      <c r="J295" t="s">
        <v>121</v>
      </c>
      <c r="K295" t="s">
        <v>122</v>
      </c>
    </row>
    <row r="296" spans="1:13" x14ac:dyDescent="0.2">
      <c r="A296" t="s">
        <v>352</v>
      </c>
      <c r="B296">
        <v>1060</v>
      </c>
      <c r="C296">
        <v>7811</v>
      </c>
      <c r="D296" t="str">
        <f>VLOOKUP(B296,[1]ManipulationPage!$A$3:$D$541,4,FALSE)</f>
        <v>Northern Europe</v>
      </c>
      <c r="E296" t="s">
        <v>1386</v>
      </c>
      <c r="F296" t="s">
        <v>521</v>
      </c>
      <c r="G296" t="str">
        <f>VLOOKUP($F296,RecipeNotes!$A$2:$E$62,3,FALSE)</f>
        <v>Shortcut recipe: Mash your veggie with a blender or fork, mixing in some oil or butter for creaminess.</v>
      </c>
      <c r="H296" t="str">
        <f>VLOOKUP($F296,RecipeNotes!$A$2:$E$62,5,FALSE)</f>
        <v>Shortcut opskrift: Blend dine grøntsager med lidt smør/olie med en gaffel eller en blender.</v>
      </c>
    </row>
    <row r="297" spans="1:13" x14ac:dyDescent="0.2">
      <c r="A297" t="s">
        <v>381</v>
      </c>
      <c r="B297">
        <v>594</v>
      </c>
      <c r="D297" t="str">
        <f>VLOOKUP(B297,[1]ManipulationPage!$A$3:$D$541,4,FALSE)</f>
        <v>Northern Europe</v>
      </c>
      <c r="G297" t="e">
        <f>VLOOKUP($F297,RecipeNotes!$A$2:$E$62,3,FALSE)</f>
        <v>#N/A</v>
      </c>
      <c r="H297" t="e">
        <f>VLOOKUP($F297,RecipeNotes!$A$2:$E$62,5,FALSE)</f>
        <v>#N/A</v>
      </c>
    </row>
    <row r="298" spans="1:13" x14ac:dyDescent="0.2">
      <c r="A298" t="s">
        <v>382</v>
      </c>
      <c r="B298">
        <v>780</v>
      </c>
      <c r="D298" t="str">
        <f>VLOOKUP(B298,[1]ManipulationPage!$A$3:$D$541,4,FALSE)</f>
        <v>Northern Europe</v>
      </c>
      <c r="G298" t="e">
        <f>VLOOKUP($F298,RecipeNotes!$A$2:$E$62,3,FALSE)</f>
        <v>#N/A</v>
      </c>
      <c r="H298" t="e">
        <f>VLOOKUP($F298,RecipeNotes!$A$2:$E$62,5,FALSE)</f>
        <v>#N/A</v>
      </c>
    </row>
    <row r="299" spans="1:13" x14ac:dyDescent="0.2">
      <c r="A299" t="s">
        <v>415</v>
      </c>
      <c r="B299">
        <v>4</v>
      </c>
      <c r="C299">
        <v>985</v>
      </c>
      <c r="D299" t="str">
        <f>VLOOKUP(B299,[1]ManipulationPage!$A$3:$D$541,4,FALSE)</f>
        <v>Northern Europe</v>
      </c>
      <c r="E299" t="s">
        <v>1386</v>
      </c>
      <c r="F299" t="s">
        <v>770</v>
      </c>
      <c r="G299" t="str">
        <f>VLOOKUP($F299,RecipeNotes!$A$2:$E$62,3,FALSE)</f>
        <v xml:space="preserve">Shortcut recipe: Fry onions and spices on a pan. Add veggies. Add water with stock/broth. Taste and balance with salt, sugar, sour, and umami.  </v>
      </c>
      <c r="H299" t="str">
        <f>VLOOKUP($F299,RecipeNotes!$A$2:$E$62,5,FALSE)</f>
        <v xml:space="preserve">Shortcut opskrift: Steg løg og krydderier på panden. Tilføj grøntsager Til føj vand med buillon. Smag til med salt, sukker, syre og umami.  </v>
      </c>
      <c r="I299" t="s">
        <v>416</v>
      </c>
      <c r="J299" t="s">
        <v>417</v>
      </c>
      <c r="K299" t="s">
        <v>416</v>
      </c>
    </row>
    <row r="300" spans="1:13" x14ac:dyDescent="0.2">
      <c r="A300" t="s">
        <v>523</v>
      </c>
      <c r="B300">
        <v>928</v>
      </c>
      <c r="C300">
        <v>4111</v>
      </c>
      <c r="D300" t="str">
        <f>VLOOKUP(B300,[1]ManipulationPage!$A$3:$D$541,4,FALSE)</f>
        <v>Northern Europe</v>
      </c>
      <c r="E300" t="s">
        <v>1386</v>
      </c>
      <c r="F300" t="s">
        <v>521</v>
      </c>
      <c r="G300" t="str">
        <f>VLOOKUP($F300,RecipeNotes!$A$2:$E$62,3,FALSE)</f>
        <v>Shortcut recipe: Mash your veggie with a blender or fork, mixing in some oil or butter for creaminess.</v>
      </c>
      <c r="H300" t="str">
        <f>VLOOKUP($F300,RecipeNotes!$A$2:$E$62,5,FALSE)</f>
        <v>Shortcut opskrift: Blend dine grøntsager med lidt smør/olie med en gaffel eller en blender.</v>
      </c>
    </row>
    <row r="301" spans="1:13" x14ac:dyDescent="0.2">
      <c r="A301" t="s">
        <v>576</v>
      </c>
      <c r="B301">
        <v>148</v>
      </c>
      <c r="C301">
        <v>1797</v>
      </c>
      <c r="D301" t="str">
        <f>VLOOKUP(B301,[1]ManipulationPage!$A$3:$D$541,4,FALSE)</f>
        <v>Omelette</v>
      </c>
      <c r="E301" t="s">
        <v>1386</v>
      </c>
      <c r="F301" t="s">
        <v>576</v>
      </c>
      <c r="G301" t="str">
        <f>VLOOKUP($F301,RecipeNotes!$A$2:$E$62,3,FALSE)</f>
        <v>Shortcut recipe: Fry onions and spices on a pan. Whisk eggs well with salt, then add to pan. Omelette is done when egg isn't runny.</v>
      </c>
      <c r="H301" t="str">
        <f>VLOOKUP($F301,RecipeNotes!$A$2:$E$62,5,FALSE)</f>
        <v>Shortcut opskrift: Steg løg og krydderier på panden. Bland æg grundigt med salt og andre smags-ingredienser. Tilføj så til panden. Omeletten er klar, når ægget ikke løber længere.</v>
      </c>
      <c r="I301" t="s">
        <v>527</v>
      </c>
      <c r="J301" t="s">
        <v>528</v>
      </c>
      <c r="K301" t="s">
        <v>529</v>
      </c>
      <c r="M301" t="s">
        <v>577</v>
      </c>
    </row>
    <row r="302" spans="1:13" x14ac:dyDescent="0.2">
      <c r="A302" t="s">
        <v>274</v>
      </c>
      <c r="B302">
        <v>37</v>
      </c>
      <c r="C302">
        <v>1173</v>
      </c>
      <c r="D302" t="str">
        <f>VLOOKUP(B302,[1]ManipulationPage!$A$3:$D$541,4,FALSE)</f>
        <v>Oven</v>
      </c>
      <c r="E302" t="s">
        <v>1386</v>
      </c>
      <c r="F302" t="s">
        <v>651</v>
      </c>
      <c r="G302" t="str">
        <f>VLOOKUP($F302,RecipeNotes!$A$2:$E$62,3,FALSE)</f>
        <v>Shortcut recipe: Add your ingredients into a pie crust, then pour a whisked egg mixture on top. Bake for 30+ minutes (180 degrees).</v>
      </c>
      <c r="H302" t="str">
        <f>VLOOKUP($F302,RecipeNotes!$A$2:$E$62,5,FALSE)</f>
        <v>Shortcut opskrift: Tilføj dine ingredineser i din tærtedej. Hæld et rørt æg ind i blandingen. Bag i ovnen i +30 minutter ved 180 grader.</v>
      </c>
      <c r="I302" t="s">
        <v>177</v>
      </c>
      <c r="J302" t="s">
        <v>178</v>
      </c>
      <c r="K302" t="s">
        <v>179</v>
      </c>
    </row>
    <row r="303" spans="1:13" x14ac:dyDescent="0.2">
      <c r="A303" t="s">
        <v>586</v>
      </c>
      <c r="B303">
        <v>24</v>
      </c>
      <c r="C303">
        <v>1105</v>
      </c>
      <c r="D303" t="str">
        <f>VLOOKUP(B303,[1]ManipulationPage!$A$3:$D$541,4,FALSE)</f>
        <v>Oven</v>
      </c>
      <c r="E303" t="s">
        <v>1386</v>
      </c>
      <c r="F303" t="s">
        <v>1549</v>
      </c>
      <c r="G303" t="str">
        <f>VLOOKUP($F303,RecipeNotes!$A$2:$E$62,3,FALSE)</f>
        <v xml:space="preserve">Shortcut recipe: Roast veggies with onion, spices, salt, and oil in the oven.  Taste and balance with salt, sugar, sour, and umami.  </v>
      </c>
      <c r="H303" t="str">
        <f>VLOOKUP($F303,RecipeNotes!$A$2:$E$62,5,FALSE)</f>
        <v xml:space="preserve">Shortcut opskrift: Læg grøntsagerne i ovnen med løg, krydderier, salt og olie.  Smag til med salt, sukker, syre og umami.  </v>
      </c>
      <c r="I303" t="s">
        <v>587</v>
      </c>
      <c r="J303" t="s">
        <v>588</v>
      </c>
      <c r="K303" t="s">
        <v>589</v>
      </c>
      <c r="M303" t="s">
        <v>590</v>
      </c>
    </row>
    <row r="304" spans="1:13" x14ac:dyDescent="0.2">
      <c r="A304" t="s">
        <v>651</v>
      </c>
      <c r="B304">
        <v>89</v>
      </c>
      <c r="C304">
        <v>1409</v>
      </c>
      <c r="D304" t="str">
        <f>VLOOKUP(B304,[1]ManipulationPage!$A$3:$D$541,4,FALSE)</f>
        <v>Oven</v>
      </c>
      <c r="E304" t="s">
        <v>1386</v>
      </c>
      <c r="F304" t="s">
        <v>651</v>
      </c>
      <c r="G304" t="str">
        <f>VLOOKUP($F304,RecipeNotes!$A$2:$E$62,3,FALSE)</f>
        <v>Shortcut recipe: Add your ingredients into a pie crust, then pour a whisked egg mixture on top. Bake for 30+ minutes (180 degrees).</v>
      </c>
      <c r="H304" t="str">
        <f>VLOOKUP($F304,RecipeNotes!$A$2:$E$62,5,FALSE)</f>
        <v>Shortcut opskrift: Tilføj dine ingredineser i din tærtedej. Hæld et rørt æg ind i blandingen. Bag i ovnen i +30 minutter ved 180 grader.</v>
      </c>
      <c r="I304" t="s">
        <v>177</v>
      </c>
      <c r="J304" t="s">
        <v>178</v>
      </c>
      <c r="K304" t="s">
        <v>179</v>
      </c>
      <c r="L304" t="s">
        <v>180</v>
      </c>
      <c r="M304" t="s">
        <v>181</v>
      </c>
    </row>
    <row r="305" spans="1:13" x14ac:dyDescent="0.2">
      <c r="A305" t="s">
        <v>686</v>
      </c>
      <c r="B305">
        <v>23</v>
      </c>
      <c r="C305">
        <v>1099</v>
      </c>
      <c r="D305" t="str">
        <f>VLOOKUP(B305,[1]ManipulationPage!$A$3:$D$541,4,FALSE)</f>
        <v>Oven</v>
      </c>
      <c r="E305" t="s">
        <v>1386</v>
      </c>
      <c r="F305" t="s">
        <v>1549</v>
      </c>
      <c r="G305" t="str">
        <f>VLOOKUP($F305,RecipeNotes!$A$2:$E$62,3,FALSE)</f>
        <v xml:space="preserve">Shortcut recipe: Roast veggies with onion, spices, salt, and oil in the oven.  Taste and balance with salt, sugar, sour, and umami.  </v>
      </c>
      <c r="H305" t="str">
        <f>VLOOKUP($F305,RecipeNotes!$A$2:$E$62,5,FALSE)</f>
        <v xml:space="preserve">Shortcut opskrift: Læg grøntsagerne i ovnen med løg, krydderier, salt og olie.  Smag til med salt, sukker, syre og umami.  </v>
      </c>
      <c r="I305" t="s">
        <v>687</v>
      </c>
      <c r="J305" t="s">
        <v>688</v>
      </c>
      <c r="K305" t="s">
        <v>689</v>
      </c>
    </row>
    <row r="306" spans="1:13" x14ac:dyDescent="0.2">
      <c r="A306" t="s">
        <v>806</v>
      </c>
      <c r="B306">
        <v>63</v>
      </c>
      <c r="C306">
        <v>1303</v>
      </c>
      <c r="D306" t="str">
        <f>VLOOKUP(B306,[1]ManipulationPage!$A$3:$D$541,4,FALSE)</f>
        <v>Oven</v>
      </c>
      <c r="G306" t="e">
        <f>VLOOKUP($F306,RecipeNotes!$A$2:$E$62,3,FALSE)</f>
        <v>#N/A</v>
      </c>
      <c r="H306" t="e">
        <f>VLOOKUP($F306,RecipeNotes!$A$2:$E$62,5,FALSE)</f>
        <v>#N/A</v>
      </c>
      <c r="I306" t="s">
        <v>803</v>
      </c>
      <c r="J306" t="s">
        <v>804</v>
      </c>
      <c r="K306" t="s">
        <v>805</v>
      </c>
    </row>
    <row r="307" spans="1:13" x14ac:dyDescent="0.2">
      <c r="A307" t="s">
        <v>26</v>
      </c>
      <c r="B307">
        <v>1081</v>
      </c>
      <c r="C307">
        <v>8841</v>
      </c>
      <c r="D307" t="str">
        <f>VLOOKUP(B307,[1]ManipulationPage!$A$3:$D$541,4,FALSE)</f>
        <v>Pasta</v>
      </c>
      <c r="E307" t="s">
        <v>1386</v>
      </c>
      <c r="F307" t="s">
        <v>604</v>
      </c>
      <c r="G307" t="str">
        <f>VLOOKUP($F307,RecipeNotes!$A$2:$E$62,3,FALSE)</f>
        <v>Shortcut recipe: Fry onions and spices on a pan. Mix with cooked pasta, including a cup of the pasta water (for creamy consistency).</v>
      </c>
      <c r="H307" t="str">
        <f>VLOOKUP($F307,RecipeNotes!$A$2:$E$62,5,FALSE)</f>
        <v>Shortcut opskrift: Steg løg og krydderier på panden. Ibland den kogte pasta med en kop pasta vand.</v>
      </c>
      <c r="I307" t="s">
        <v>27</v>
      </c>
      <c r="J307" t="s">
        <v>28</v>
      </c>
      <c r="K307" t="s">
        <v>29</v>
      </c>
      <c r="L307" t="s">
        <v>30</v>
      </c>
      <c r="M307" t="s">
        <v>31</v>
      </c>
    </row>
    <row r="308" spans="1:13" x14ac:dyDescent="0.2">
      <c r="A308" t="s">
        <v>46</v>
      </c>
      <c r="B308">
        <v>283</v>
      </c>
      <c r="C308">
        <v>2568</v>
      </c>
      <c r="D308" t="str">
        <f>VLOOKUP(B308,[1]ManipulationPage!$A$3:$D$541,4,FALSE)</f>
        <v>Pasta</v>
      </c>
      <c r="E308" t="s">
        <v>1386</v>
      </c>
      <c r="F308" t="s">
        <v>192</v>
      </c>
      <c r="G308" t="str">
        <f>VLOOKUP($F308,RecipeNotes!$A$2:$E$62,3,FALSE)</f>
        <v>Shortcut recipe: Put a layer of cooked grains on-top of your sauce. Bake in the oven for 30+ minutes (180 degrees)</v>
      </c>
      <c r="H308" t="str">
        <f>VLOOKUP($F308,RecipeNotes!$A$2:$E$62,5,FALSE)</f>
        <v>Shortcut opskrift: Put et lag af dine kogte korn på toppen. Bag i ovnen i +30 minutter ved 180 grader.</v>
      </c>
      <c r="I308" t="s">
        <v>47</v>
      </c>
      <c r="J308" t="s">
        <v>48</v>
      </c>
      <c r="K308" t="s">
        <v>49</v>
      </c>
    </row>
    <row r="309" spans="1:13" x14ac:dyDescent="0.2">
      <c r="A309" t="s">
        <v>183</v>
      </c>
      <c r="B309">
        <v>919</v>
      </c>
      <c r="D309" t="str">
        <f>VLOOKUP(B309,[1]ManipulationPage!$A$3:$D$541,4,FALSE)</f>
        <v>Pasta</v>
      </c>
      <c r="E309" t="s">
        <v>1386</v>
      </c>
      <c r="F309" t="s">
        <v>604</v>
      </c>
      <c r="G309" t="str">
        <f>VLOOKUP($F309,RecipeNotes!$A$2:$E$62,3,FALSE)</f>
        <v>Shortcut recipe: Fry onions and spices on a pan. Mix with cooked pasta, including a cup of the pasta water (for creamy consistency).</v>
      </c>
      <c r="H309" t="str">
        <f>VLOOKUP($F309,RecipeNotes!$A$2:$E$62,5,FALSE)</f>
        <v>Shortcut opskrift: Steg løg og krydderier på panden. Ibland den kogte pasta med en kop pasta vand.</v>
      </c>
    </row>
    <row r="310" spans="1:13" x14ac:dyDescent="0.2">
      <c r="A310" t="s">
        <v>232</v>
      </c>
      <c r="B310">
        <v>920</v>
      </c>
      <c r="D310" t="str">
        <f>VLOOKUP(B310,[1]ManipulationPage!$A$3:$D$541,4,FALSE)</f>
        <v>Pasta</v>
      </c>
      <c r="E310" t="s">
        <v>1386</v>
      </c>
      <c r="F310" t="s">
        <v>604</v>
      </c>
      <c r="G310" t="str">
        <f>VLOOKUP($F310,RecipeNotes!$A$2:$E$62,3,FALSE)</f>
        <v>Shortcut recipe: Fry onions and spices on a pan. Mix with cooked pasta, including a cup of the pasta water (for creamy consistency).</v>
      </c>
      <c r="H310" t="str">
        <f>VLOOKUP($F310,RecipeNotes!$A$2:$E$62,5,FALSE)</f>
        <v>Shortcut opskrift: Steg løg og krydderier på panden. Ibland den kogte pasta med en kop pasta vand.</v>
      </c>
    </row>
    <row r="311" spans="1:13" x14ac:dyDescent="0.2">
      <c r="A311" t="s">
        <v>315</v>
      </c>
      <c r="B311">
        <v>957</v>
      </c>
      <c r="C311">
        <v>4860</v>
      </c>
      <c r="D311" t="str">
        <f>VLOOKUP(B311,[1]ManipulationPage!$A$3:$D$541,4,FALSE)</f>
        <v>Pasta</v>
      </c>
      <c r="E311" t="s">
        <v>1386</v>
      </c>
      <c r="F311" t="s">
        <v>604</v>
      </c>
      <c r="G311" t="str">
        <f>VLOOKUP($F311,RecipeNotes!$A$2:$E$62,3,FALSE)</f>
        <v>Shortcut recipe: Fry onions and spices on a pan. Mix with cooked pasta, including a cup of the pasta water (for creamy consistency).</v>
      </c>
      <c r="H311" t="str">
        <f>VLOOKUP($F311,RecipeNotes!$A$2:$E$62,5,FALSE)</f>
        <v>Shortcut opskrift: Steg løg og krydderier på panden. Ibland den kogte pasta med en kop pasta vand.</v>
      </c>
      <c r="I311" t="s">
        <v>316</v>
      </c>
      <c r="J311" t="s">
        <v>317</v>
      </c>
      <c r="K311" t="s">
        <v>318</v>
      </c>
      <c r="L311" t="s">
        <v>319</v>
      </c>
      <c r="M311" t="s">
        <v>320</v>
      </c>
    </row>
    <row r="312" spans="1:13" x14ac:dyDescent="0.2">
      <c r="A312" t="s">
        <v>322</v>
      </c>
      <c r="B312">
        <v>958</v>
      </c>
      <c r="C312">
        <v>4881</v>
      </c>
      <c r="D312" t="str">
        <f>VLOOKUP(B312,[1]ManipulationPage!$A$3:$D$541,4,FALSE)</f>
        <v>Pasta</v>
      </c>
      <c r="E312" t="s">
        <v>1386</v>
      </c>
      <c r="F312" t="s">
        <v>604</v>
      </c>
      <c r="G312" t="str">
        <f>VLOOKUP($F312,RecipeNotes!$A$2:$E$62,3,FALSE)</f>
        <v>Shortcut recipe: Fry onions and spices on a pan. Mix with cooked pasta, including a cup of the pasta water (for creamy consistency).</v>
      </c>
      <c r="H312" t="str">
        <f>VLOOKUP($F312,RecipeNotes!$A$2:$E$62,5,FALSE)</f>
        <v>Shortcut opskrift: Steg løg og krydderier på panden. Ibland den kogte pasta med en kop pasta vand.</v>
      </c>
      <c r="I312" t="s">
        <v>316</v>
      </c>
      <c r="J312" t="s">
        <v>317</v>
      </c>
      <c r="K312" t="s">
        <v>318</v>
      </c>
      <c r="L312" t="s">
        <v>323</v>
      </c>
      <c r="M312" t="s">
        <v>320</v>
      </c>
    </row>
    <row r="313" spans="1:13" x14ac:dyDescent="0.2">
      <c r="A313" t="s">
        <v>322</v>
      </c>
      <c r="B313">
        <v>1084</v>
      </c>
      <c r="C313">
        <v>8876</v>
      </c>
      <c r="D313" t="str">
        <f>VLOOKUP(B313,[1]ManipulationPage!$A$3:$D$541,4,FALSE)</f>
        <v>Pasta</v>
      </c>
      <c r="E313" t="s">
        <v>1386</v>
      </c>
      <c r="F313" t="s">
        <v>604</v>
      </c>
      <c r="G313" t="str">
        <f>VLOOKUP($F313,RecipeNotes!$A$2:$E$62,3,FALSE)</f>
        <v>Shortcut recipe: Fry onions and spices on a pan. Mix with cooked pasta, including a cup of the pasta water (for creamy consistency).</v>
      </c>
      <c r="H313" t="str">
        <f>VLOOKUP($F313,RecipeNotes!$A$2:$E$62,5,FALSE)</f>
        <v>Shortcut opskrift: Steg løg og krydderier på panden. Ibland den kogte pasta med en kop pasta vand.</v>
      </c>
      <c r="I313" t="s">
        <v>316</v>
      </c>
      <c r="J313" t="s">
        <v>317</v>
      </c>
      <c r="K313" t="s">
        <v>318</v>
      </c>
      <c r="L313" t="s">
        <v>323</v>
      </c>
      <c r="M313" t="s">
        <v>320</v>
      </c>
    </row>
    <row r="314" spans="1:13" x14ac:dyDescent="0.2">
      <c r="A314" t="s">
        <v>329</v>
      </c>
      <c r="B314">
        <v>324</v>
      </c>
      <c r="C314">
        <v>2734</v>
      </c>
      <c r="D314" t="str">
        <f>VLOOKUP(B314,[1]ManipulationPage!$A$3:$D$541,4,FALSE)</f>
        <v>Pasta</v>
      </c>
      <c r="E314" t="s">
        <v>1386</v>
      </c>
      <c r="F314" t="s">
        <v>604</v>
      </c>
      <c r="G314" t="str">
        <f>VLOOKUP($F314,RecipeNotes!$A$2:$E$62,3,FALSE)</f>
        <v>Shortcut recipe: Fry onions and spices on a pan. Mix with cooked pasta, including a cup of the pasta water (for creamy consistency).</v>
      </c>
      <c r="H314" t="str">
        <f>VLOOKUP($F314,RecipeNotes!$A$2:$E$62,5,FALSE)</f>
        <v>Shortcut opskrift: Steg løg og krydderier på panden. Ibland den kogte pasta med en kop pasta vand.</v>
      </c>
      <c r="I314" t="s">
        <v>330</v>
      </c>
      <c r="J314" t="s">
        <v>330</v>
      </c>
      <c r="K314" t="s">
        <v>331</v>
      </c>
    </row>
    <row r="315" spans="1:13" x14ac:dyDescent="0.2">
      <c r="A315" t="s">
        <v>358</v>
      </c>
      <c r="B315">
        <v>959</v>
      </c>
      <c r="C315">
        <v>4896</v>
      </c>
      <c r="D315" t="str">
        <f>VLOOKUP(B315,[1]ManipulationPage!$A$3:$D$541,4,FALSE)</f>
        <v>Pasta</v>
      </c>
      <c r="E315" t="s">
        <v>1386</v>
      </c>
      <c r="F315" t="s">
        <v>604</v>
      </c>
      <c r="G315" t="str">
        <f>VLOOKUP($F315,RecipeNotes!$A$2:$E$62,3,FALSE)</f>
        <v>Shortcut recipe: Fry onions and spices on a pan. Mix with cooked pasta, including a cup of the pasta water (for creamy consistency).</v>
      </c>
      <c r="H315" t="str">
        <f>VLOOKUP($F315,RecipeNotes!$A$2:$E$62,5,FALSE)</f>
        <v>Shortcut opskrift: Steg løg og krydderier på panden. Ibland den kogte pasta med en kop pasta vand.</v>
      </c>
      <c r="I315" t="s">
        <v>27</v>
      </c>
      <c r="J315" t="s">
        <v>28</v>
      </c>
      <c r="K315" t="s">
        <v>29</v>
      </c>
      <c r="L315" t="s">
        <v>30</v>
      </c>
      <c r="M315" t="s">
        <v>31</v>
      </c>
    </row>
    <row r="316" spans="1:13" x14ac:dyDescent="0.2">
      <c r="A316" t="s">
        <v>371</v>
      </c>
      <c r="B316">
        <v>901</v>
      </c>
      <c r="D316" t="str">
        <f>VLOOKUP(B316,[1]ManipulationPage!$A$3:$D$541,4,FALSE)</f>
        <v>Pasta</v>
      </c>
      <c r="E316" t="s">
        <v>1386</v>
      </c>
      <c r="F316" t="s">
        <v>604</v>
      </c>
      <c r="G316" t="str">
        <f>VLOOKUP($F316,RecipeNotes!$A$2:$E$62,3,FALSE)</f>
        <v>Shortcut recipe: Fry onions and spices on a pan. Mix with cooked pasta, including a cup of the pasta water (for creamy consistency).</v>
      </c>
      <c r="H316" t="str">
        <f>VLOOKUP($F316,RecipeNotes!$A$2:$E$62,5,FALSE)</f>
        <v>Shortcut opskrift: Steg løg og krydderier på panden. Ibland den kogte pasta med en kop pasta vand.</v>
      </c>
    </row>
    <row r="317" spans="1:13" x14ac:dyDescent="0.2">
      <c r="A317" t="s">
        <v>373</v>
      </c>
      <c r="B317">
        <v>945</v>
      </c>
      <c r="D317" t="str">
        <f>VLOOKUP(B317,[1]ManipulationPage!$A$3:$D$541,4,FALSE)</f>
        <v>Pasta</v>
      </c>
      <c r="E317" t="s">
        <v>1386</v>
      </c>
      <c r="F317" t="s">
        <v>604</v>
      </c>
      <c r="G317" t="str">
        <f>VLOOKUP($F317,RecipeNotes!$A$2:$E$62,3,FALSE)</f>
        <v>Shortcut recipe: Fry onions and spices on a pan. Mix with cooked pasta, including a cup of the pasta water (for creamy consistency).</v>
      </c>
      <c r="H317" t="str">
        <f>VLOOKUP($F317,RecipeNotes!$A$2:$E$62,5,FALSE)</f>
        <v>Shortcut opskrift: Steg løg og krydderier på panden. Ibland den kogte pasta med en kop pasta vand.</v>
      </c>
    </row>
    <row r="318" spans="1:13" x14ac:dyDescent="0.2">
      <c r="A318" t="s">
        <v>379</v>
      </c>
      <c r="B318">
        <v>921</v>
      </c>
      <c r="D318" t="str">
        <f>VLOOKUP(B318,[1]ManipulationPage!$A$3:$D$541,4,FALSE)</f>
        <v>Pasta</v>
      </c>
      <c r="E318" t="s">
        <v>1386</v>
      </c>
      <c r="F318" t="s">
        <v>604</v>
      </c>
      <c r="G318" t="str">
        <f>VLOOKUP($F318,RecipeNotes!$A$2:$E$62,3,FALSE)</f>
        <v>Shortcut recipe: Fry onions and spices on a pan. Mix with cooked pasta, including a cup of the pasta water (for creamy consistency).</v>
      </c>
      <c r="H318" t="str">
        <f>VLOOKUP($F318,RecipeNotes!$A$2:$E$62,5,FALSE)</f>
        <v>Shortcut opskrift: Steg løg og krydderier på panden. Ibland den kogte pasta med en kop pasta vand.</v>
      </c>
    </row>
    <row r="319" spans="1:13" x14ac:dyDescent="0.2">
      <c r="A319" t="s">
        <v>448</v>
      </c>
      <c r="B319">
        <v>601</v>
      </c>
      <c r="D319" t="str">
        <f>VLOOKUP(B319,[1]ManipulationPage!$A$3:$D$541,4,FALSE)</f>
        <v>Pasta</v>
      </c>
      <c r="E319" t="s">
        <v>1386</v>
      </c>
      <c r="F319" t="s">
        <v>604</v>
      </c>
      <c r="G319" t="str">
        <f>VLOOKUP($F319,RecipeNotes!$A$2:$E$62,3,FALSE)</f>
        <v>Shortcut recipe: Fry onions and spices on a pan. Mix with cooked pasta, including a cup of the pasta water (for creamy consistency).</v>
      </c>
      <c r="H319" t="str">
        <f>VLOOKUP($F319,RecipeNotes!$A$2:$E$62,5,FALSE)</f>
        <v>Shortcut opskrift: Steg løg og krydderier på panden. Ibland den kogte pasta med en kop pasta vand.</v>
      </c>
    </row>
    <row r="320" spans="1:13" x14ac:dyDescent="0.2">
      <c r="A320" t="s">
        <v>494</v>
      </c>
      <c r="B320">
        <v>846</v>
      </c>
      <c r="D320" t="str">
        <f>VLOOKUP(B320,[1]ManipulationPage!$A$3:$D$541,4,FALSE)</f>
        <v>Pasta</v>
      </c>
      <c r="E320" t="s">
        <v>1386</v>
      </c>
      <c r="F320" t="s">
        <v>604</v>
      </c>
      <c r="G320" t="str">
        <f>VLOOKUP($F320,RecipeNotes!$A$2:$E$62,3,FALSE)</f>
        <v>Shortcut recipe: Fry onions and spices on a pan. Mix with cooked pasta, including a cup of the pasta water (for creamy consistency).</v>
      </c>
      <c r="H320" t="str">
        <f>VLOOKUP($F320,RecipeNotes!$A$2:$E$62,5,FALSE)</f>
        <v>Shortcut opskrift: Steg løg og krydderier på panden. Ibland den kogte pasta med en kop pasta vand.</v>
      </c>
    </row>
    <row r="321" spans="1:13" x14ac:dyDescent="0.2">
      <c r="A321" t="s">
        <v>538</v>
      </c>
      <c r="B321">
        <v>935</v>
      </c>
      <c r="D321" t="str">
        <f>VLOOKUP(B321,[1]ManipulationPage!$A$3:$D$541,4,FALSE)</f>
        <v>Pasta</v>
      </c>
      <c r="E321" t="s">
        <v>1386</v>
      </c>
      <c r="F321" t="s">
        <v>604</v>
      </c>
      <c r="G321" t="str">
        <f>VLOOKUP($F321,RecipeNotes!$A$2:$E$62,3,FALSE)</f>
        <v>Shortcut recipe: Fry onions and spices on a pan. Mix with cooked pasta, including a cup of the pasta water (for creamy consistency).</v>
      </c>
      <c r="H321" t="str">
        <f>VLOOKUP($F321,RecipeNotes!$A$2:$E$62,5,FALSE)</f>
        <v>Shortcut opskrift: Steg løg og krydderier på panden. Ibland den kogte pasta med en kop pasta vand.</v>
      </c>
    </row>
    <row r="322" spans="1:13" x14ac:dyDescent="0.2">
      <c r="A322" t="s">
        <v>570</v>
      </c>
      <c r="B322">
        <v>939</v>
      </c>
      <c r="D322" t="str">
        <f>VLOOKUP(B322,[1]ManipulationPage!$A$3:$D$541,4,FALSE)</f>
        <v>Pasta</v>
      </c>
      <c r="E322" t="s">
        <v>1386</v>
      </c>
      <c r="F322" t="s">
        <v>604</v>
      </c>
      <c r="G322" t="str">
        <f>VLOOKUP($F322,RecipeNotes!$A$2:$E$62,3,FALSE)</f>
        <v>Shortcut recipe: Fry onions and spices on a pan. Mix with cooked pasta, including a cup of the pasta water (for creamy consistency).</v>
      </c>
      <c r="H322" t="str">
        <f>VLOOKUP($F322,RecipeNotes!$A$2:$E$62,5,FALSE)</f>
        <v>Shortcut opskrift: Steg løg og krydderier på panden. Ibland den kogte pasta med en kop pasta vand.</v>
      </c>
    </row>
    <row r="323" spans="1:13" x14ac:dyDescent="0.2">
      <c r="A323" t="s">
        <v>582</v>
      </c>
      <c r="B323">
        <v>285</v>
      </c>
      <c r="C323">
        <v>2580</v>
      </c>
      <c r="D323" t="str">
        <f>VLOOKUP(B323,[1]ManipulationPage!$A$3:$D$541,4,FALSE)</f>
        <v>Pasta</v>
      </c>
      <c r="E323">
        <v>2</v>
      </c>
      <c r="F323" t="s">
        <v>582</v>
      </c>
      <c r="G323" t="str">
        <f>VLOOKUP($F323,RecipeNotes!$A$2:$E$62,3,FALSE)</f>
        <v>Shortcut recipe: Fry onions and spices on a pan. Add barley with a little wine, then add stock and boiling water gradually.</v>
      </c>
      <c r="H323" t="str">
        <f>VLOOKUP($F323,RecipeNotes!$A$2:$E$62,5,FALSE)</f>
        <v>Shortcut opskrift: Steg løg og krydderier på panden. Tilføj byg med en smule vin. Tilføj så buillon og vand langsomt.</v>
      </c>
      <c r="I323" t="s">
        <v>583</v>
      </c>
      <c r="J323" t="s">
        <v>584</v>
      </c>
      <c r="K323" t="s">
        <v>585</v>
      </c>
    </row>
    <row r="324" spans="1:13" x14ac:dyDescent="0.2">
      <c r="A324" t="s">
        <v>604</v>
      </c>
      <c r="B324">
        <v>69</v>
      </c>
      <c r="C324">
        <v>1341</v>
      </c>
      <c r="D324" t="str">
        <f>VLOOKUP(B324,[1]ManipulationPage!$A$3:$D$541,4,FALSE)</f>
        <v>Pasta</v>
      </c>
      <c r="E324" t="s">
        <v>1386</v>
      </c>
      <c r="F324" t="s">
        <v>604</v>
      </c>
      <c r="G324" t="str">
        <f>VLOOKUP($F324,RecipeNotes!$A$2:$E$62,3,FALSE)</f>
        <v>Shortcut recipe: Fry onions and spices on a pan. Mix with cooked pasta, including a cup of the pasta water (for creamy consistency).</v>
      </c>
      <c r="H324" t="str">
        <f>VLOOKUP($F324,RecipeNotes!$A$2:$E$62,5,FALSE)</f>
        <v>Shortcut opskrift: Steg løg og krydderier på panden. Ibland den kogte pasta med en kop pasta vand.</v>
      </c>
      <c r="I324" t="s">
        <v>27</v>
      </c>
      <c r="J324" t="s">
        <v>28</v>
      </c>
      <c r="K324" t="s">
        <v>29</v>
      </c>
      <c r="L324" t="s">
        <v>30</v>
      </c>
      <c r="M324" t="s">
        <v>31</v>
      </c>
    </row>
    <row r="325" spans="1:13" x14ac:dyDescent="0.2">
      <c r="A325" t="s">
        <v>604</v>
      </c>
      <c r="B325">
        <v>1073</v>
      </c>
      <c r="C325">
        <v>8348</v>
      </c>
      <c r="D325" t="str">
        <f>VLOOKUP(B325,[1]ManipulationPage!$A$3:$D$541,4,FALSE)</f>
        <v>Pasta</v>
      </c>
      <c r="E325" t="s">
        <v>1386</v>
      </c>
      <c r="F325" t="s">
        <v>604</v>
      </c>
      <c r="G325" t="str">
        <f>VLOOKUP($F325,RecipeNotes!$A$2:$E$62,3,FALSE)</f>
        <v>Shortcut recipe: Fry onions and spices on a pan. Mix with cooked pasta, including a cup of the pasta water (for creamy consistency).</v>
      </c>
      <c r="H325" t="str">
        <f>VLOOKUP($F325,RecipeNotes!$A$2:$E$62,5,FALSE)</f>
        <v>Shortcut opskrift: Steg løg og krydderier på panden. Ibland den kogte pasta med en kop pasta vand.</v>
      </c>
      <c r="I325" t="s">
        <v>27</v>
      </c>
      <c r="J325" t="s">
        <v>28</v>
      </c>
      <c r="K325" t="s">
        <v>29</v>
      </c>
      <c r="L325" t="s">
        <v>30</v>
      </c>
      <c r="M325" t="s">
        <v>31</v>
      </c>
    </row>
    <row r="326" spans="1:13" x14ac:dyDescent="0.2">
      <c r="A326" t="s">
        <v>606</v>
      </c>
      <c r="B326">
        <v>984</v>
      </c>
      <c r="C326">
        <v>5390</v>
      </c>
      <c r="D326" t="str">
        <f>VLOOKUP(B326,[1]ManipulationPage!$A$3:$D$541,4,FALSE)</f>
        <v>Pasta</v>
      </c>
      <c r="E326" t="s">
        <v>1386</v>
      </c>
      <c r="F326" t="s">
        <v>1638</v>
      </c>
      <c r="G326" t="str">
        <f>VLOOKUP($F326,RecipeNotes!$A$2:$E$62,3,FALSE)</f>
        <v>Shortcut recipe: Fry onions and spices on a pan. Add your veggies and condiments. Mix with cooked pasta. Taste and balance with salt, sugar, sour, and umami.</v>
      </c>
      <c r="H326" t="str">
        <f>VLOOKUP($F326,RecipeNotes!$A$2:$E$62,5,FALSE)</f>
        <v>Shortcut opskrift: Steg løg og krydderier på panden. Tilføj dine grøntsager og saucer. Bland med kogt pasta. Smag til med salt, sukker, syre og umami.</v>
      </c>
      <c r="I326" t="s">
        <v>17</v>
      </c>
      <c r="J326" t="s">
        <v>220</v>
      </c>
      <c r="K326" t="s">
        <v>18</v>
      </c>
      <c r="L326" t="s">
        <v>19</v>
      </c>
      <c r="M326" t="s">
        <v>20</v>
      </c>
    </row>
    <row r="327" spans="1:13" x14ac:dyDescent="0.2">
      <c r="A327" t="s">
        <v>606</v>
      </c>
      <c r="B327">
        <v>1096</v>
      </c>
      <c r="C327">
        <v>9390</v>
      </c>
      <c r="D327" t="str">
        <f>VLOOKUP(B327,[1]ManipulationPage!$A$3:$D$541,4,FALSE)</f>
        <v>Pasta</v>
      </c>
      <c r="E327" t="s">
        <v>1386</v>
      </c>
      <c r="F327" t="s">
        <v>606</v>
      </c>
      <c r="G327" t="str">
        <f>VLOOKUP($F327,RecipeNotes!$A$2:$E$62,3,FALSE)</f>
        <v>Shortcut recipe: Fry onions and spices on a pan. Add your veggies and condiments. Mix with cooked pasta. Taste and balance with salt, sugar, sour, and umami.</v>
      </c>
      <c r="H327" t="str">
        <f>VLOOKUP($F327,RecipeNotes!$A$2:$E$62,5,FALSE)</f>
        <v>Shortcut opskrift: Steg løg og krydderier på panden. Tilføj dine grøntsager og saucer. Bland med kogt pasta. Smag til med salt, sukker, syre og umami.</v>
      </c>
      <c r="I327" t="s">
        <v>17</v>
      </c>
      <c r="J327" t="s">
        <v>220</v>
      </c>
      <c r="K327" t="s">
        <v>18</v>
      </c>
      <c r="L327" t="s">
        <v>19</v>
      </c>
      <c r="M327" t="s">
        <v>20</v>
      </c>
    </row>
    <row r="328" spans="1:13" x14ac:dyDescent="0.2">
      <c r="A328" t="s">
        <v>648</v>
      </c>
      <c r="B328">
        <v>961</v>
      </c>
      <c r="C328">
        <v>4940</v>
      </c>
      <c r="D328" t="str">
        <f>VLOOKUP(B328,[1]ManipulationPage!$A$3:$D$541,4,FALSE)</f>
        <v>Pasta</v>
      </c>
      <c r="E328" t="s">
        <v>1386</v>
      </c>
      <c r="F328" t="s">
        <v>604</v>
      </c>
      <c r="G328" t="str">
        <f>VLOOKUP($F328,RecipeNotes!$A$2:$E$62,3,FALSE)</f>
        <v>Shortcut recipe: Fry onions and spices on a pan. Mix with cooked pasta, including a cup of the pasta water (for creamy consistency).</v>
      </c>
      <c r="H328" t="str">
        <f>VLOOKUP($F328,RecipeNotes!$A$2:$E$62,5,FALSE)</f>
        <v>Shortcut opskrift: Steg løg og krydderier på panden. Ibland den kogte pasta med en kop pasta vand.</v>
      </c>
      <c r="I328" t="s">
        <v>27</v>
      </c>
      <c r="J328" t="s">
        <v>28</v>
      </c>
      <c r="K328" t="s">
        <v>29</v>
      </c>
      <c r="L328" t="s">
        <v>30</v>
      </c>
      <c r="M328" t="s">
        <v>31</v>
      </c>
    </row>
    <row r="329" spans="1:13" x14ac:dyDescent="0.2">
      <c r="A329" t="s">
        <v>747</v>
      </c>
      <c r="B329">
        <v>1056</v>
      </c>
      <c r="C329">
        <v>7354</v>
      </c>
      <c r="D329" t="str">
        <f>VLOOKUP(B329,[1]ManipulationPage!$A$3:$D$541,4,FALSE)</f>
        <v>Pasta</v>
      </c>
      <c r="E329" t="s">
        <v>1386</v>
      </c>
      <c r="F329" t="s">
        <v>604</v>
      </c>
      <c r="G329" t="str">
        <f>VLOOKUP($F329,RecipeNotes!$A$2:$E$62,3,FALSE)</f>
        <v>Shortcut recipe: Fry onions and spices on a pan. Mix with cooked pasta, including a cup of the pasta water (for creamy consistency).</v>
      </c>
      <c r="H329" t="str">
        <f>VLOOKUP($F329,RecipeNotes!$A$2:$E$62,5,FALSE)</f>
        <v>Shortcut opskrift: Steg løg og krydderier på panden. Ibland den kogte pasta med en kop pasta vand.</v>
      </c>
    </row>
    <row r="330" spans="1:13" x14ac:dyDescent="0.2">
      <c r="A330" t="s">
        <v>901</v>
      </c>
      <c r="B330">
        <v>962</v>
      </c>
      <c r="C330">
        <v>4951</v>
      </c>
      <c r="D330" t="str">
        <f>VLOOKUP(B330,[1]ManipulationPage!$A$3:$D$541,4,FALSE)</f>
        <v>Pasta</v>
      </c>
      <c r="E330" t="s">
        <v>1386</v>
      </c>
      <c r="F330" t="s">
        <v>604</v>
      </c>
      <c r="G330" t="str">
        <f>VLOOKUP($F330,RecipeNotes!$A$2:$E$62,3,FALSE)</f>
        <v>Shortcut recipe: Fry onions and spices on a pan. Mix with cooked pasta, including a cup of the pasta water (for creamy consistency).</v>
      </c>
      <c r="H330" t="str">
        <f>VLOOKUP($F330,RecipeNotes!$A$2:$E$62,5,FALSE)</f>
        <v>Shortcut opskrift: Steg løg og krydderier på panden. Ibland den kogte pasta med en kop pasta vand.</v>
      </c>
      <c r="I330" t="s">
        <v>27</v>
      </c>
      <c r="J330" t="s">
        <v>28</v>
      </c>
      <c r="K330" t="s">
        <v>29</v>
      </c>
      <c r="L330" t="s">
        <v>30</v>
      </c>
      <c r="M330" t="s">
        <v>31</v>
      </c>
    </row>
    <row r="331" spans="1:13" x14ac:dyDescent="0.2">
      <c r="A331" t="s">
        <v>16</v>
      </c>
      <c r="B331">
        <v>989</v>
      </c>
      <c r="C331">
        <v>5426</v>
      </c>
      <c r="D331" t="str">
        <f>VLOOKUP(B331,[1]ManipulationPage!$A$3:$D$541,4,FALSE)</f>
        <v>Salad</v>
      </c>
      <c r="E331" t="s">
        <v>1386</v>
      </c>
      <c r="F331" t="s">
        <v>698</v>
      </c>
      <c r="G331" t="str">
        <f>VLOOKUP($F331,RecipeNotes!$A$2:$E$62,3,FALSE)</f>
        <v xml:space="preserve">Shortcut recipe: Cut and mix all ingredients. Taste and balance with salt, sugar, sour, and umami.  </v>
      </c>
      <c r="H331" t="str">
        <f>VLOOKUP($F331,RecipeNotes!$A$2:$E$62,5,FALSE)</f>
        <v xml:space="preserve">Shortcut opskrift: Skær og bland alle ingredienser. Smag til med salt, sukker, syre og umami.  </v>
      </c>
      <c r="I331" t="s">
        <v>17</v>
      </c>
      <c r="J331" t="s">
        <v>17</v>
      </c>
      <c r="K331" t="s">
        <v>18</v>
      </c>
      <c r="L331" t="s">
        <v>19</v>
      </c>
      <c r="M331" t="s">
        <v>20</v>
      </c>
    </row>
    <row r="332" spans="1:13" x14ac:dyDescent="0.2">
      <c r="A332" t="s">
        <v>143</v>
      </c>
      <c r="B332">
        <v>990</v>
      </c>
      <c r="C332">
        <v>5452</v>
      </c>
      <c r="D332" t="str">
        <f>VLOOKUP(B332,[1]ManipulationPage!$A$3:$D$541,4,FALSE)</f>
        <v>Salad</v>
      </c>
      <c r="E332" t="s">
        <v>1386</v>
      </c>
      <c r="F332" t="s">
        <v>698</v>
      </c>
      <c r="G332" t="str">
        <f>VLOOKUP($F332,RecipeNotes!$A$2:$E$62,3,FALSE)</f>
        <v xml:space="preserve">Shortcut recipe: Cut and mix all ingredients. Taste and balance with salt, sugar, sour, and umami.  </v>
      </c>
      <c r="H332" t="str">
        <f>VLOOKUP($F332,RecipeNotes!$A$2:$E$62,5,FALSE)</f>
        <v xml:space="preserve">Shortcut opskrift: Skær og bland alle ingredienser. Smag til med salt, sukker, syre og umami.  </v>
      </c>
      <c r="I332" t="s">
        <v>17</v>
      </c>
      <c r="J332" t="s">
        <v>17</v>
      </c>
      <c r="K332" t="s">
        <v>18</v>
      </c>
      <c r="L332" t="s">
        <v>19</v>
      </c>
      <c r="M332" t="s">
        <v>20</v>
      </c>
    </row>
    <row r="333" spans="1:13" x14ac:dyDescent="0.2">
      <c r="A333" t="s">
        <v>221</v>
      </c>
      <c r="B333">
        <v>196</v>
      </c>
      <c r="C333">
        <v>2050</v>
      </c>
      <c r="D333" t="str">
        <f>VLOOKUP(B333,[1]ManipulationPage!$A$3:$D$541,4,FALSE)</f>
        <v>Salad</v>
      </c>
      <c r="E333" t="s">
        <v>1386</v>
      </c>
      <c r="F333" t="s">
        <v>1639</v>
      </c>
      <c r="G333" t="str">
        <f>VLOOKUP($F333,RecipeNotes!$A$2:$E$62,3,FALSE)</f>
        <v>Shortcut recipe: Cook and arrange ingredients seperately in the bowl for a beautiful impression.</v>
      </c>
      <c r="H333" t="str">
        <f>VLOOKUP($F333,RecipeNotes!$A$2:$E$62,5,FALSE)</f>
        <v>Shortcut opskrift: Kog og arranger ingredienser adskilt og malerisk i en skål.</v>
      </c>
      <c r="I333" t="s">
        <v>222</v>
      </c>
      <c r="J333" t="s">
        <v>223</v>
      </c>
      <c r="K333" t="s">
        <v>224</v>
      </c>
    </row>
    <row r="334" spans="1:13" x14ac:dyDescent="0.2">
      <c r="A334" t="s">
        <v>345</v>
      </c>
      <c r="B334">
        <v>554</v>
      </c>
      <c r="D334" t="str">
        <f>VLOOKUP(B334,[1]ManipulationPage!$A$3:$D$541,4,FALSE)</f>
        <v>Salad</v>
      </c>
      <c r="E334" t="s">
        <v>1386</v>
      </c>
      <c r="F334" t="s">
        <v>698</v>
      </c>
      <c r="G334" t="str">
        <f>VLOOKUP($F334,RecipeNotes!$A$2:$E$62,3,FALSE)</f>
        <v xml:space="preserve">Shortcut recipe: Cut and mix all ingredients. Taste and balance with salt, sugar, sour, and umami.  </v>
      </c>
      <c r="H334" t="str">
        <f>VLOOKUP($F334,RecipeNotes!$A$2:$E$62,5,FALSE)</f>
        <v xml:space="preserve">Shortcut opskrift: Skær og bland alle ingredienser. Smag til med salt, sukker, syre og umami.  </v>
      </c>
    </row>
    <row r="335" spans="1:13" x14ac:dyDescent="0.2">
      <c r="A335" t="s">
        <v>421</v>
      </c>
      <c r="B335">
        <v>996</v>
      </c>
      <c r="C335">
        <v>5564</v>
      </c>
      <c r="D335" t="str">
        <f>VLOOKUP(B335,[1]ManipulationPage!$A$3:$D$541,4,FALSE)</f>
        <v>Salad</v>
      </c>
      <c r="E335" t="s">
        <v>1386</v>
      </c>
      <c r="F335" t="s">
        <v>1539</v>
      </c>
      <c r="G335" t="str">
        <f>VLOOKUP($F335,RecipeNotes!$A$2:$E$62,3,FALSE)</f>
        <v>Shortcut recipe: Fry onions and spices on a pan. Add veggies. Mix with cooked grains/noodles.</v>
      </c>
      <c r="H335" t="str">
        <f>VLOOKUP($F335,RecipeNotes!$A$2:$E$62,5,FALSE)</f>
        <v>Shortcut opskrift: Steg løg og krydderier på panden. Tilføj grøntsager Bland med kogte nudler/bælgfrugter/korn.</v>
      </c>
      <c r="I335" t="s">
        <v>17</v>
      </c>
      <c r="J335" t="s">
        <v>220</v>
      </c>
      <c r="K335" t="s">
        <v>18</v>
      </c>
      <c r="L335" t="s">
        <v>19</v>
      </c>
      <c r="M335" t="s">
        <v>20</v>
      </c>
    </row>
    <row r="336" spans="1:13" x14ac:dyDescent="0.2">
      <c r="A336" t="s">
        <v>478</v>
      </c>
      <c r="B336">
        <v>994</v>
      </c>
      <c r="C336">
        <v>5520</v>
      </c>
      <c r="D336" t="str">
        <f>VLOOKUP(B336,[1]ManipulationPage!$A$3:$D$541,4,FALSE)</f>
        <v>Salad</v>
      </c>
      <c r="E336" t="s">
        <v>1386</v>
      </c>
      <c r="F336" t="s">
        <v>698</v>
      </c>
      <c r="G336" t="str">
        <f>VLOOKUP($F336,RecipeNotes!$A$2:$E$62,3,FALSE)</f>
        <v xml:space="preserve">Shortcut recipe: Cut and mix all ingredients. Taste and balance with salt, sugar, sour, and umami.  </v>
      </c>
      <c r="H336" t="str">
        <f>VLOOKUP($F336,RecipeNotes!$A$2:$E$62,5,FALSE)</f>
        <v xml:space="preserve">Shortcut opskrift: Skær og bland alle ingredienser. Smag til med salt, sukker, syre og umami.  </v>
      </c>
      <c r="I336" t="s">
        <v>17</v>
      </c>
      <c r="J336" t="s">
        <v>17</v>
      </c>
      <c r="K336" t="s">
        <v>18</v>
      </c>
      <c r="L336" t="s">
        <v>19</v>
      </c>
      <c r="M336" t="s">
        <v>20</v>
      </c>
    </row>
    <row r="337" spans="1:13" x14ac:dyDescent="0.2">
      <c r="A337" t="s">
        <v>566</v>
      </c>
      <c r="B337">
        <v>106</v>
      </c>
      <c r="C337">
        <v>1515</v>
      </c>
      <c r="D337" t="str">
        <f>VLOOKUP(B337,[1]ManipulationPage!$A$3:$D$541,4,FALSE)</f>
        <v>Salad</v>
      </c>
      <c r="E337" t="s">
        <v>1386</v>
      </c>
      <c r="F337" t="s">
        <v>698</v>
      </c>
      <c r="G337" t="str">
        <f>VLOOKUP($F337,RecipeNotes!$A$2:$E$62,3,FALSE)</f>
        <v xml:space="preserve">Shortcut recipe: Cut and mix all ingredients. Taste and balance with salt, sugar, sour, and umami.  </v>
      </c>
      <c r="H337" t="str">
        <f>VLOOKUP($F337,RecipeNotes!$A$2:$E$62,5,FALSE)</f>
        <v xml:space="preserve">Shortcut opskrift: Skær og bland alle ingredienser. Smag til med salt, sukker, syre og umami.  </v>
      </c>
      <c r="I337" t="s">
        <v>567</v>
      </c>
      <c r="J337" t="s">
        <v>568</v>
      </c>
      <c r="K337" t="s">
        <v>569</v>
      </c>
    </row>
    <row r="338" spans="1:13" x14ac:dyDescent="0.2">
      <c r="A338" t="s">
        <v>610</v>
      </c>
      <c r="B338">
        <v>997</v>
      </c>
      <c r="C338">
        <v>5578</v>
      </c>
      <c r="D338" t="str">
        <f>VLOOKUP(B338,[1]ManipulationPage!$A$3:$D$541,4,FALSE)</f>
        <v>Salad</v>
      </c>
      <c r="E338" t="s">
        <v>1386</v>
      </c>
      <c r="F338" t="s">
        <v>1539</v>
      </c>
      <c r="G338" t="str">
        <f>VLOOKUP($F338,RecipeNotes!$A$2:$E$62,3,FALSE)</f>
        <v>Shortcut recipe: Fry onions and spices on a pan. Add veggies. Mix with cooked grains/noodles.</v>
      </c>
      <c r="H338" t="str">
        <f>VLOOKUP($F338,RecipeNotes!$A$2:$E$62,5,FALSE)</f>
        <v>Shortcut opskrift: Steg løg og krydderier på panden. Tilføj grøntsager Bland med kogte nudler/bælgfrugter/korn.</v>
      </c>
      <c r="I338" t="s">
        <v>17</v>
      </c>
      <c r="J338" t="s">
        <v>220</v>
      </c>
      <c r="K338" t="s">
        <v>18</v>
      </c>
      <c r="L338" t="s">
        <v>19</v>
      </c>
      <c r="M338" t="s">
        <v>20</v>
      </c>
    </row>
    <row r="339" spans="1:13" x14ac:dyDescent="0.2">
      <c r="A339" t="s">
        <v>660</v>
      </c>
      <c r="B339">
        <v>362</v>
      </c>
      <c r="C339">
        <v>2780</v>
      </c>
      <c r="D339" t="str">
        <f>VLOOKUP(B339,[1]ManipulationPage!$A$3:$D$541,4,FALSE)</f>
        <v>Salad</v>
      </c>
      <c r="E339" t="s">
        <v>1386</v>
      </c>
      <c r="F339" t="s">
        <v>1539</v>
      </c>
      <c r="G339" t="str">
        <f>VLOOKUP($F339,RecipeNotes!$A$2:$E$62,3,FALSE)</f>
        <v>Shortcut recipe: Fry onions and spices on a pan. Add veggies. Mix with cooked grains/noodles.</v>
      </c>
      <c r="H339" t="str">
        <f>VLOOKUP($F339,RecipeNotes!$A$2:$E$62,5,FALSE)</f>
        <v>Shortcut opskrift: Steg løg og krydderier på panden. Tilføj grøntsager Bland med kogte nudler/bælgfrugter/korn.</v>
      </c>
      <c r="I339" t="s">
        <v>486</v>
      </c>
      <c r="J339" t="s">
        <v>486</v>
      </c>
      <c r="K339" t="s">
        <v>486</v>
      </c>
    </row>
    <row r="340" spans="1:13" x14ac:dyDescent="0.2">
      <c r="A340" t="s">
        <v>666</v>
      </c>
      <c r="B340">
        <v>48</v>
      </c>
      <c r="C340">
        <v>1239</v>
      </c>
      <c r="D340" t="str">
        <f>VLOOKUP(B340,[1]ManipulationPage!$A$3:$D$541,4,FALSE)</f>
        <v>Salad</v>
      </c>
      <c r="E340" t="s">
        <v>1386</v>
      </c>
      <c r="F340" t="s">
        <v>1639</v>
      </c>
      <c r="G340" t="str">
        <f>VLOOKUP($F340,RecipeNotes!$A$2:$E$62,3,FALSE)</f>
        <v>Shortcut recipe: Cook and arrange ingredients seperately in the bowl for a beautiful impression.</v>
      </c>
      <c r="H340" t="str">
        <f>VLOOKUP($F340,RecipeNotes!$A$2:$E$62,5,FALSE)</f>
        <v>Shortcut opskrift: Kog og arranger ingredienser adskilt og malerisk i en skål.</v>
      </c>
      <c r="I340" t="s">
        <v>222</v>
      </c>
      <c r="J340" t="s">
        <v>223</v>
      </c>
      <c r="K340" t="s">
        <v>224</v>
      </c>
    </row>
    <row r="341" spans="1:13" x14ac:dyDescent="0.2">
      <c r="A341" t="s">
        <v>667</v>
      </c>
      <c r="B341">
        <v>999</v>
      </c>
      <c r="C341">
        <v>5598</v>
      </c>
      <c r="D341" t="str">
        <f>VLOOKUP(B341,[1]ManipulationPage!$A$3:$D$541,4,FALSE)</f>
        <v>Salad</v>
      </c>
      <c r="E341" t="s">
        <v>1386</v>
      </c>
      <c r="F341" t="s">
        <v>698</v>
      </c>
      <c r="G341" t="str">
        <f>VLOOKUP($F341,RecipeNotes!$A$2:$E$62,3,FALSE)</f>
        <v xml:space="preserve">Shortcut recipe: Cut and mix all ingredients. Taste and balance with salt, sugar, sour, and umami.  </v>
      </c>
      <c r="H341" t="str">
        <f>VLOOKUP($F341,RecipeNotes!$A$2:$E$62,5,FALSE)</f>
        <v xml:space="preserve">Shortcut opskrift: Skær og bland alle ingredienser. Smag til med salt, sukker, syre og umami.  </v>
      </c>
      <c r="I341" t="s">
        <v>17</v>
      </c>
      <c r="J341" t="s">
        <v>220</v>
      </c>
      <c r="K341" t="s">
        <v>18</v>
      </c>
      <c r="L341" t="s">
        <v>19</v>
      </c>
      <c r="M341" t="s">
        <v>20</v>
      </c>
    </row>
    <row r="342" spans="1:13" x14ac:dyDescent="0.2">
      <c r="A342" t="s">
        <v>685</v>
      </c>
      <c r="B342">
        <v>55</v>
      </c>
      <c r="C342">
        <v>1251</v>
      </c>
      <c r="D342" t="str">
        <f>VLOOKUP(B342,[1]ManipulationPage!$A$3:$D$541,4,FALSE)</f>
        <v>Salad</v>
      </c>
      <c r="E342" t="s">
        <v>1386</v>
      </c>
      <c r="F342" t="s">
        <v>1639</v>
      </c>
      <c r="G342" t="str">
        <f>VLOOKUP($F342,RecipeNotes!$A$2:$E$62,3,FALSE)</f>
        <v>Shortcut recipe: Cook and arrange ingredients seperately in the bowl for a beautiful impression.</v>
      </c>
      <c r="H342" t="str">
        <f>VLOOKUP($F342,RecipeNotes!$A$2:$E$62,5,FALSE)</f>
        <v>Shortcut opskrift: Kog og arranger ingredienser adskilt og malerisk i en skål.</v>
      </c>
      <c r="I342" t="s">
        <v>222</v>
      </c>
      <c r="J342" t="s">
        <v>223</v>
      </c>
      <c r="K342" t="s">
        <v>224</v>
      </c>
    </row>
    <row r="343" spans="1:13" x14ac:dyDescent="0.2">
      <c r="A343" t="s">
        <v>698</v>
      </c>
      <c r="B343">
        <v>94</v>
      </c>
      <c r="C343">
        <v>1435</v>
      </c>
      <c r="D343" t="str">
        <f>VLOOKUP(B343,[1]ManipulationPage!$A$3:$D$541,4,FALSE)</f>
        <v>Salad</v>
      </c>
      <c r="E343" t="s">
        <v>1386</v>
      </c>
      <c r="F343" t="s">
        <v>698</v>
      </c>
      <c r="G343" t="str">
        <f>VLOOKUP($F343,RecipeNotes!$A$2:$E$62,3,FALSE)</f>
        <v xml:space="preserve">Shortcut recipe: Cut and mix all ingredients. Taste and balance with salt, sugar, sour, and umami.  </v>
      </c>
      <c r="H343" t="str">
        <f>VLOOKUP($F343,RecipeNotes!$A$2:$E$62,5,FALSE)</f>
        <v xml:space="preserve">Shortcut opskrift: Skær og bland alle ingredienser. Smag til med salt, sukker, syre og umami.  </v>
      </c>
      <c r="I343" t="s">
        <v>17</v>
      </c>
      <c r="J343" t="s">
        <v>17</v>
      </c>
      <c r="K343" t="s">
        <v>18</v>
      </c>
      <c r="L343" t="s">
        <v>535</v>
      </c>
      <c r="M343" t="s">
        <v>20</v>
      </c>
    </row>
    <row r="344" spans="1:13" x14ac:dyDescent="0.2">
      <c r="A344" t="s">
        <v>736</v>
      </c>
      <c r="B344">
        <v>144</v>
      </c>
      <c r="C344">
        <v>1765</v>
      </c>
      <c r="D344" t="str">
        <f>VLOOKUP(B344,[1]ManipulationPage!$A$3:$D$541,4,FALSE)</f>
        <v>Salad</v>
      </c>
      <c r="E344" t="s">
        <v>1386</v>
      </c>
      <c r="F344" t="s">
        <v>736</v>
      </c>
      <c r="G344" t="str">
        <f>VLOOKUP($F344,RecipeNotes!$A$2:$E$62,3,FALSE)</f>
        <v>Shortcut recipe: Cut and mix all ingredients. This dish should be a little fresh and sour.</v>
      </c>
      <c r="H344" t="str">
        <f>VLOOKUP($F344,RecipeNotes!$A$2:$E$62,5,FALSE)</f>
        <v>Shortcut opskrift: Skær og bland alle ingredienser. Retten skal være en smule frisk og syrlig.</v>
      </c>
      <c r="I344" t="s">
        <v>737</v>
      </c>
      <c r="J344" t="s">
        <v>738</v>
      </c>
      <c r="K344" t="s">
        <v>739</v>
      </c>
    </row>
    <row r="345" spans="1:13" x14ac:dyDescent="0.2">
      <c r="A345" t="s">
        <v>769</v>
      </c>
      <c r="B345">
        <v>998</v>
      </c>
      <c r="C345">
        <v>5592</v>
      </c>
      <c r="D345" t="str">
        <f>VLOOKUP(B345,[1]ManipulationPage!$A$3:$D$541,4,FALSE)</f>
        <v>Salad</v>
      </c>
      <c r="E345" t="s">
        <v>1386</v>
      </c>
      <c r="F345" t="s">
        <v>698</v>
      </c>
      <c r="G345" t="str">
        <f>VLOOKUP($F345,RecipeNotes!$A$2:$E$62,3,FALSE)</f>
        <v xml:space="preserve">Shortcut recipe: Cut and mix all ingredients. Taste and balance with salt, sugar, sour, and umami.  </v>
      </c>
      <c r="H345" t="str">
        <f>VLOOKUP($F345,RecipeNotes!$A$2:$E$62,5,FALSE)</f>
        <v xml:space="preserve">Shortcut opskrift: Skær og bland alle ingredienser. Smag til med salt, sukker, syre og umami.  </v>
      </c>
      <c r="I345" t="s">
        <v>17</v>
      </c>
      <c r="J345" t="s">
        <v>220</v>
      </c>
      <c r="K345" t="s">
        <v>18</v>
      </c>
      <c r="L345" t="s">
        <v>19</v>
      </c>
      <c r="M345" t="s">
        <v>20</v>
      </c>
    </row>
    <row r="346" spans="1:13" x14ac:dyDescent="0.2">
      <c r="A346" t="s">
        <v>790</v>
      </c>
      <c r="B346">
        <v>1002</v>
      </c>
      <c r="C346">
        <v>5664</v>
      </c>
      <c r="D346" t="str">
        <f>VLOOKUP(B346,[1]ManipulationPage!$A$3:$D$541,4,FALSE)</f>
        <v>Salad</v>
      </c>
      <c r="E346" t="s">
        <v>1386</v>
      </c>
      <c r="F346" t="s">
        <v>698</v>
      </c>
      <c r="G346" t="str">
        <f>VLOOKUP($F346,RecipeNotes!$A$2:$E$62,3,FALSE)</f>
        <v xml:space="preserve">Shortcut recipe: Cut and mix all ingredients. Taste and balance with salt, sugar, sour, and umami.  </v>
      </c>
      <c r="H346" t="str">
        <f>VLOOKUP($F346,RecipeNotes!$A$2:$E$62,5,FALSE)</f>
        <v xml:space="preserve">Shortcut opskrift: Skær og bland alle ingredienser. Smag til med salt, sukker, syre og umami.  </v>
      </c>
      <c r="I346" t="s">
        <v>438</v>
      </c>
      <c r="J346" t="s">
        <v>439</v>
      </c>
      <c r="K346" t="s">
        <v>440</v>
      </c>
      <c r="L346" t="s">
        <v>791</v>
      </c>
      <c r="M346" t="s">
        <v>792</v>
      </c>
    </row>
    <row r="347" spans="1:13" x14ac:dyDescent="0.2">
      <c r="A347" t="s">
        <v>855</v>
      </c>
      <c r="B347">
        <v>195</v>
      </c>
      <c r="C347">
        <v>2044</v>
      </c>
      <c r="D347" t="str">
        <f>VLOOKUP(B347,[1]ManipulationPage!$A$3:$D$541,4,FALSE)</f>
        <v>Salad</v>
      </c>
      <c r="E347" t="s">
        <v>1386</v>
      </c>
      <c r="F347" t="s">
        <v>1639</v>
      </c>
      <c r="G347" t="str">
        <f>VLOOKUP($F347,RecipeNotes!$A$2:$E$62,3,FALSE)</f>
        <v>Shortcut recipe: Cook and arrange ingredients seperately in the bowl for a beautiful impression.</v>
      </c>
      <c r="H347" t="str">
        <f>VLOOKUP($F347,RecipeNotes!$A$2:$E$62,5,FALSE)</f>
        <v>Shortcut opskrift: Kog og arranger ingredienser adskilt og malerisk i en skål.</v>
      </c>
      <c r="I347" t="s">
        <v>222</v>
      </c>
      <c r="J347" t="s">
        <v>223</v>
      </c>
      <c r="K347" t="s">
        <v>224</v>
      </c>
    </row>
    <row r="348" spans="1:13" x14ac:dyDescent="0.2">
      <c r="A348" t="s">
        <v>890</v>
      </c>
      <c r="B348">
        <v>281</v>
      </c>
      <c r="C348">
        <v>2556</v>
      </c>
      <c r="D348" t="str">
        <f>VLOOKUP(B348,[1]ManipulationPage!$A$3:$D$541,4,FALSE)</f>
        <v>Salad</v>
      </c>
      <c r="E348" t="s">
        <v>1386</v>
      </c>
      <c r="F348" t="s">
        <v>1539</v>
      </c>
      <c r="G348" t="str">
        <f>VLOOKUP($F348,RecipeNotes!$A$2:$E$62,3,FALSE)</f>
        <v>Shortcut recipe: Fry onions and spices on a pan. Add veggies. Mix with cooked grains/noodles.</v>
      </c>
      <c r="H348" t="str">
        <f>VLOOKUP($F348,RecipeNotes!$A$2:$E$62,5,FALSE)</f>
        <v>Shortcut opskrift: Steg løg og krydderier på panden. Tilføj grøntsager Bland med kogte nudler/bælgfrugter/korn.</v>
      </c>
      <c r="I348" t="s">
        <v>434</v>
      </c>
      <c r="J348" t="s">
        <v>435</v>
      </c>
      <c r="K348" t="s">
        <v>436</v>
      </c>
    </row>
    <row r="349" spans="1:13" x14ac:dyDescent="0.2">
      <c r="A349" t="s">
        <v>891</v>
      </c>
      <c r="B349">
        <v>253</v>
      </c>
      <c r="C349">
        <v>2390</v>
      </c>
      <c r="D349" t="str">
        <f>VLOOKUP(B349,[1]ManipulationPage!$A$3:$D$541,4,FALSE)</f>
        <v>Salad</v>
      </c>
      <c r="E349" t="s">
        <v>1386</v>
      </c>
      <c r="F349" t="s">
        <v>1539</v>
      </c>
      <c r="G349" t="str">
        <f>VLOOKUP($F349,RecipeNotes!$A$2:$E$62,3,FALSE)</f>
        <v>Shortcut recipe: Fry onions and spices on a pan. Add veggies. Mix with cooked grains/noodles.</v>
      </c>
      <c r="H349" t="str">
        <f>VLOOKUP($F349,RecipeNotes!$A$2:$E$62,5,FALSE)</f>
        <v>Shortcut opskrift: Steg løg og krydderier på panden. Tilføj grøntsager Bland med kogte nudler/bælgfrugter/korn.</v>
      </c>
      <c r="I349" t="s">
        <v>434</v>
      </c>
      <c r="J349" t="s">
        <v>435</v>
      </c>
      <c r="K349" t="s">
        <v>436</v>
      </c>
    </row>
    <row r="350" spans="1:13" x14ac:dyDescent="0.2">
      <c r="A350" t="s">
        <v>169</v>
      </c>
      <c r="B350">
        <v>134</v>
      </c>
      <c r="C350">
        <v>1695</v>
      </c>
      <c r="D350" t="str">
        <f>VLOOKUP(B350,[1]ManipulationPage!$A$3:$D$541,4,FALSE)</f>
        <v>Sandwich</v>
      </c>
      <c r="E350" t="s">
        <v>1386</v>
      </c>
      <c r="F350" t="s">
        <v>1631</v>
      </c>
      <c r="G350" t="str">
        <f>VLOOKUP($F350,RecipeNotes!$A$2:$E$62,3,FALSE)</f>
        <v>Shortcut recipe: Fry onions and spices on a pan. Add veggies. Taste and balance with salt, sugar, sour, and umami. Pluck the leaves off your cabbage/lettuce, to be used as 'tacos'. Add all to the 'tacos'. Enjoy!</v>
      </c>
      <c r="H350" t="str">
        <f>VLOOKUP($F350,RecipeNotes!$A$2:$E$62,5,FALSE)</f>
        <v>Shortcut opskrift: Steg løg og krydderier på panden. Tilføj grøntsager Smag til med salt, sukker, syre og umami. Pluk bladene forsigtigt af dine kål/salat for at bruge dem som 'tacos'. Tilføj i din 'tacos'.</v>
      </c>
      <c r="I350" t="s">
        <v>170</v>
      </c>
      <c r="J350" t="s">
        <v>171</v>
      </c>
      <c r="K350" t="s">
        <v>172</v>
      </c>
    </row>
    <row r="351" spans="1:13" x14ac:dyDescent="0.2">
      <c r="A351" t="s">
        <v>506</v>
      </c>
      <c r="B351">
        <v>133</v>
      </c>
      <c r="C351">
        <v>1687</v>
      </c>
      <c r="D351" t="str">
        <f>VLOOKUP(B351,[1]ManipulationPage!$A$3:$D$541,4,FALSE)</f>
        <v>Sandwich</v>
      </c>
      <c r="E351" t="s">
        <v>1386</v>
      </c>
      <c r="F351" t="s">
        <v>1631</v>
      </c>
      <c r="G351" t="str">
        <f>VLOOKUP($F351,RecipeNotes!$A$2:$E$62,3,FALSE)</f>
        <v>Shortcut recipe: Fry onions and spices on a pan. Add veggies. Taste and balance with salt, sugar, sour, and umami. Pluck the leaves off your cabbage/lettuce, to be used as 'tacos'. Add all to the 'tacos'. Enjoy!</v>
      </c>
      <c r="H351" t="str">
        <f>VLOOKUP($F351,RecipeNotes!$A$2:$E$62,5,FALSE)</f>
        <v>Shortcut opskrift: Steg løg og krydderier på panden. Tilføj grøntsager Smag til med salt, sukker, syre og umami. Pluk bladene forsigtigt af dine kål/salat for at bruge dem som 'tacos'. Tilføj i din 'tacos'.</v>
      </c>
      <c r="I351" t="s">
        <v>170</v>
      </c>
      <c r="J351" t="s">
        <v>171</v>
      </c>
      <c r="K351" t="s">
        <v>172</v>
      </c>
    </row>
    <row r="352" spans="1:13" x14ac:dyDescent="0.2">
      <c r="A352" t="s">
        <v>706</v>
      </c>
      <c r="B352">
        <v>1161</v>
      </c>
      <c r="C352">
        <v>10856</v>
      </c>
      <c r="D352" t="str">
        <f>VLOOKUP(B352,[1]ManipulationPage!$A$3:$D$541,4,FALSE)</f>
        <v>Sandwich</v>
      </c>
      <c r="F352" t="s">
        <v>597</v>
      </c>
      <c r="G352" t="str">
        <f>VLOOKUP($F352,RecipeNotes!$A$2:$E$62,3,FALSE)</f>
        <v>Shortcut recipe: Mix ingredients gently in a bowl. Heat a pan with oil or butter. Add in thin layers. 2 minutes per side.</v>
      </c>
      <c r="H352" t="str">
        <f>VLOOKUP($F352,RecipeNotes!$A$2:$E$62,5,FALSE)</f>
        <v>Shortcut opskrift: Bland ingredienserne nænsomt i en skål. Varn en pande med olie/smør og tilføj dejen i små lag. 2 minutter per side.</v>
      </c>
      <c r="I352" t="s">
        <v>486</v>
      </c>
      <c r="J352" t="s">
        <v>486</v>
      </c>
      <c r="K352" t="s">
        <v>486</v>
      </c>
    </row>
    <row r="353" spans="1:13" x14ac:dyDescent="0.2">
      <c r="A353" t="s">
        <v>710</v>
      </c>
      <c r="B353">
        <v>544</v>
      </c>
      <c r="D353" t="str">
        <f>VLOOKUP(B353,[1]ManipulationPage!$A$3:$D$541,4,FALSE)</f>
        <v>Sandwich</v>
      </c>
      <c r="G353" t="e">
        <f>VLOOKUP($F353,RecipeNotes!$A$2:$E$62,3,FALSE)</f>
        <v>#N/A</v>
      </c>
      <c r="H353" t="e">
        <f>VLOOKUP($F353,RecipeNotes!$A$2:$E$62,5,FALSE)</f>
        <v>#N/A</v>
      </c>
    </row>
    <row r="354" spans="1:13" x14ac:dyDescent="0.2">
      <c r="A354" t="s">
        <v>547</v>
      </c>
      <c r="B354">
        <v>1045</v>
      </c>
      <c r="C354">
        <v>6494</v>
      </c>
      <c r="D354" t="str">
        <f>VLOOKUP(B354,[1]ManipulationPage!$A$3:$D$541,4,FALSE)</f>
        <v xml:space="preserve">Savory </v>
      </c>
      <c r="E354" t="s">
        <v>1386</v>
      </c>
      <c r="F354" t="s">
        <v>1635</v>
      </c>
      <c r="G354" t="str">
        <f>VLOOKUP($F354,RecipeNotes!$A$2:$E$62,3,FALSE)</f>
        <v>Shortcut recipe: Gently mix the wet ingredients into the dry. Bake in oven until a toothpick comes out clean when pricking them (about 30 minutes)</v>
      </c>
      <c r="H354" t="str">
        <f>VLOOKUP($F354,RecipeNotes!$A$2:$E$62,5,FALSE)</f>
        <v>Shortcut opskrift: Ælt de våde ingredienser indi i de tørre nænsomt. Bag i ovnen indtil en tandstik kan komme ud af dem uden dej sidder fast.</v>
      </c>
    </row>
    <row r="355" spans="1:13" x14ac:dyDescent="0.2">
      <c r="A355" t="s">
        <v>626</v>
      </c>
      <c r="B355">
        <v>34</v>
      </c>
      <c r="C355">
        <v>1151</v>
      </c>
      <c r="D355" t="str">
        <f>VLOOKUP(B355,[1]ManipulationPage!$A$3:$D$541,4,FALSE)</f>
        <v xml:space="preserve">Savory </v>
      </c>
      <c r="E355" t="s">
        <v>1386</v>
      </c>
      <c r="F355" t="s">
        <v>626</v>
      </c>
      <c r="G355" t="str">
        <f>VLOOKUP($F355,RecipeNotes!$A$2:$E$62,3,FALSE)</f>
        <v>Shortcut recipe: Add boiling water to oats with a bit of salt. Wait 5 minutes. Then add your condiments</v>
      </c>
      <c r="H355" t="str">
        <f>VLOOKUP($F355,RecipeNotes!$A$2:$E$62,5,FALSE)</f>
        <v>Shortcut opskrift: Tilføj kogende vand og en smule salt - vent 5 minutter… vupti!</v>
      </c>
      <c r="I355" t="s">
        <v>627</v>
      </c>
      <c r="J355" t="s">
        <v>628</v>
      </c>
      <c r="K355" t="s">
        <v>629</v>
      </c>
      <c r="M355" t="s">
        <v>630</v>
      </c>
    </row>
    <row r="356" spans="1:13" x14ac:dyDescent="0.2">
      <c r="A356" t="s">
        <v>241</v>
      </c>
      <c r="B356">
        <v>15</v>
      </c>
      <c r="C356">
        <v>1045</v>
      </c>
      <c r="D356" t="str">
        <f>VLOOKUP(B356,[1]ManipulationPage!$A$3:$D$541,4,FALSE)</f>
        <v>Soup</v>
      </c>
      <c r="E356" t="s">
        <v>1386</v>
      </c>
      <c r="F356" t="s">
        <v>1546</v>
      </c>
      <c r="G356" t="str">
        <f>VLOOKUP($F356,RecipeNotes!$A$2:$E$62,3,FALSE)</f>
        <v>Shortcut recipe: Fry onions and spices on a pan. Add veggies. Add water with stock/broth. Blend the soup. Taste and balance with salt, sugar, sour, and umami.</v>
      </c>
      <c r="H356" t="str">
        <f>VLOOKUP($F356,RecipeNotes!$A$2:$E$62,5,FALSE)</f>
        <v>Shortcut opskrift: Steg løg og krydderier på panden. Tilføj grøntsager Til føj vand med buillon. Blend suppen. Smag til med salt, sukker, syre og umami.</v>
      </c>
      <c r="I356" t="s">
        <v>242</v>
      </c>
      <c r="J356" t="s">
        <v>243</v>
      </c>
      <c r="K356" t="s">
        <v>244</v>
      </c>
    </row>
    <row r="357" spans="1:13" x14ac:dyDescent="0.2">
      <c r="A357" t="s">
        <v>252</v>
      </c>
      <c r="B357">
        <v>1046</v>
      </c>
      <c r="C357">
        <v>6584</v>
      </c>
      <c r="D357" t="str">
        <f>VLOOKUP(B357,[1]ManipulationPage!$A$3:$D$541,4,FALSE)</f>
        <v>Soup</v>
      </c>
      <c r="E357" t="s">
        <v>1386</v>
      </c>
      <c r="F357" t="s">
        <v>1547</v>
      </c>
      <c r="G357" t="str">
        <f>VLOOKUP($F357,RecipeNotes!$A$2:$E$62,3,FALSE)</f>
        <v xml:space="preserve">Shortcut recipe: Fry onions and spices on a pan. Add veggies. Add water with stock/broth. Taste and balance with salt, sugar, sour, and umami.  </v>
      </c>
      <c r="H357" t="str">
        <f>VLOOKUP($F357,RecipeNotes!$A$2:$E$62,5,FALSE)</f>
        <v xml:space="preserve">Shortcut opskrift: Steg løg og krydderier på panden. Tilføj grøntsager Til føj vand med buillon. Smag til med salt, sukker, syre og umami.  </v>
      </c>
      <c r="I357" t="s">
        <v>253</v>
      </c>
      <c r="J357" t="s">
        <v>254</v>
      </c>
      <c r="K357" t="s">
        <v>255</v>
      </c>
      <c r="L357" t="s">
        <v>256</v>
      </c>
      <c r="M357" t="s">
        <v>257</v>
      </c>
    </row>
    <row r="358" spans="1:13" x14ac:dyDescent="0.2">
      <c r="A358" t="s">
        <v>291</v>
      </c>
      <c r="B358">
        <v>136</v>
      </c>
      <c r="C358">
        <v>1705</v>
      </c>
      <c r="D358" t="str">
        <f>VLOOKUP(B358,[1]ManipulationPage!$A$3:$D$541,4,FALSE)</f>
        <v>Soup</v>
      </c>
      <c r="E358" t="s">
        <v>1386</v>
      </c>
      <c r="F358" t="s">
        <v>400</v>
      </c>
      <c r="G358" t="str">
        <f>VLOOKUP($F358,RecipeNotes!$A$2:$E$62,3,FALSE)</f>
        <v>Shortcut recipe: Add veggies with bread to a blender and pulse to the desired texture. Cool it down in fridge. Taste and balance with salt, sugar, sour, and umami.</v>
      </c>
      <c r="H358" t="str">
        <f>VLOOKUP($F358,RecipeNotes!$A$2:$E$62,5,FALSE)</f>
        <v>Shortcut opskrift: Tilføj grøntsager med brød i blenderen og glend til din ønskede tekstur. Lad hvile i køleren i mindst en halv time. Smag til med salt, sukker, syre og umami.</v>
      </c>
      <c r="I358" t="s">
        <v>9</v>
      </c>
      <c r="J358" t="s">
        <v>10</v>
      </c>
      <c r="K358" t="s">
        <v>11</v>
      </c>
    </row>
    <row r="359" spans="1:13" x14ac:dyDescent="0.2">
      <c r="A359" t="s">
        <v>311</v>
      </c>
      <c r="B359">
        <v>979</v>
      </c>
      <c r="C359">
        <v>5291</v>
      </c>
      <c r="D359" t="str">
        <f>VLOOKUP(B359,[1]ManipulationPage!$A$3:$D$541,4,FALSE)</f>
        <v>Soup</v>
      </c>
      <c r="E359" t="s">
        <v>1386</v>
      </c>
      <c r="F359" t="s">
        <v>1546</v>
      </c>
      <c r="G359" t="str">
        <f>VLOOKUP($F359,RecipeNotes!$A$2:$E$62,3,FALSE)</f>
        <v>Shortcut recipe: Fry onions and spices on a pan. Add veggies. Add water with stock/broth. Blend the soup. Taste and balance with salt, sugar, sour, and umami.</v>
      </c>
      <c r="H359" t="str">
        <f>VLOOKUP($F359,RecipeNotes!$A$2:$E$62,5,FALSE)</f>
        <v>Shortcut opskrift: Steg løg og krydderier på panden. Tilføj grøntsager Til føj vand med buillon. Blend suppen. Smag til med salt, sukker, syre og umami.</v>
      </c>
      <c r="I359" t="s">
        <v>253</v>
      </c>
      <c r="J359" t="s">
        <v>254</v>
      </c>
      <c r="K359" t="s">
        <v>255</v>
      </c>
      <c r="L359" t="s">
        <v>312</v>
      </c>
      <c r="M359" t="s">
        <v>257</v>
      </c>
    </row>
    <row r="360" spans="1:13" x14ac:dyDescent="0.2">
      <c r="A360" t="s">
        <v>313</v>
      </c>
      <c r="B360">
        <v>978</v>
      </c>
      <c r="C360">
        <v>5285</v>
      </c>
      <c r="D360" t="str">
        <f>VLOOKUP(B360,[1]ManipulationPage!$A$3:$D$541,4,FALSE)</f>
        <v>Soup</v>
      </c>
      <c r="E360" t="s">
        <v>1386</v>
      </c>
      <c r="F360" t="s">
        <v>1546</v>
      </c>
      <c r="G360" t="str">
        <f>VLOOKUP($F360,RecipeNotes!$A$2:$E$62,3,FALSE)</f>
        <v>Shortcut recipe: Fry onions and spices on a pan. Add veggies. Add water with stock/broth. Blend the soup. Taste and balance with salt, sugar, sour, and umami.</v>
      </c>
      <c r="H360" t="str">
        <f>VLOOKUP($F360,RecipeNotes!$A$2:$E$62,5,FALSE)</f>
        <v>Shortcut opskrift: Steg løg og krydderier på panden. Tilføj grøntsager Til føj vand med buillon. Blend suppen. Smag til med salt, sukker, syre og umami.</v>
      </c>
      <c r="I360" t="s">
        <v>253</v>
      </c>
      <c r="J360" t="s">
        <v>254</v>
      </c>
      <c r="K360" t="s">
        <v>255</v>
      </c>
      <c r="L360" t="s">
        <v>314</v>
      </c>
      <c r="M360" t="s">
        <v>257</v>
      </c>
    </row>
    <row r="361" spans="1:13" x14ac:dyDescent="0.2">
      <c r="A361" t="s">
        <v>321</v>
      </c>
      <c r="B361">
        <v>980</v>
      </c>
      <c r="C361">
        <v>5297</v>
      </c>
      <c r="D361" t="str">
        <f>VLOOKUP(B361,[1]ManipulationPage!$A$3:$D$541,4,FALSE)</f>
        <v>Soup</v>
      </c>
      <c r="E361" t="s">
        <v>1386</v>
      </c>
      <c r="F361" t="s">
        <v>1546</v>
      </c>
      <c r="G361" t="str">
        <f>VLOOKUP($F361,RecipeNotes!$A$2:$E$62,3,FALSE)</f>
        <v>Shortcut recipe: Fry onions and spices on a pan. Add veggies. Add water with stock/broth. Blend the soup. Taste and balance with salt, sugar, sour, and umami.</v>
      </c>
      <c r="H361" t="str">
        <f>VLOOKUP($F361,RecipeNotes!$A$2:$E$62,5,FALSE)</f>
        <v>Shortcut opskrift: Steg løg og krydderier på panden. Tilføj grøntsager Til føj vand med buillon. Blend suppen. Smag til med salt, sukker, syre og umami.</v>
      </c>
      <c r="I361" t="s">
        <v>253</v>
      </c>
      <c r="J361" t="s">
        <v>254</v>
      </c>
      <c r="K361" t="s">
        <v>255</v>
      </c>
      <c r="L361" t="s">
        <v>312</v>
      </c>
      <c r="M361" t="s">
        <v>257</v>
      </c>
    </row>
    <row r="362" spans="1:13" x14ac:dyDescent="0.2">
      <c r="A362" t="s">
        <v>324</v>
      </c>
      <c r="B362">
        <v>977</v>
      </c>
      <c r="C362">
        <v>5279</v>
      </c>
      <c r="D362" t="str">
        <f>VLOOKUP(B362,[1]ManipulationPage!$A$3:$D$541,4,FALSE)</f>
        <v>Soup</v>
      </c>
      <c r="E362" t="s">
        <v>1386</v>
      </c>
      <c r="F362" t="s">
        <v>1546</v>
      </c>
      <c r="G362" t="str">
        <f>VLOOKUP($F362,RecipeNotes!$A$2:$E$62,3,FALSE)</f>
        <v>Shortcut recipe: Fry onions and spices on a pan. Add veggies. Add water with stock/broth. Blend the soup. Taste and balance with salt, sugar, sour, and umami.</v>
      </c>
      <c r="H362" t="str">
        <f>VLOOKUP($F362,RecipeNotes!$A$2:$E$62,5,FALSE)</f>
        <v>Shortcut opskrift: Steg løg og krydderier på panden. Tilføj grøntsager Til føj vand med buillon. Blend suppen. Smag til med salt, sukker, syre og umami.</v>
      </c>
      <c r="I362" t="s">
        <v>253</v>
      </c>
      <c r="J362" t="s">
        <v>254</v>
      </c>
      <c r="K362" t="s">
        <v>255</v>
      </c>
      <c r="L362" t="s">
        <v>314</v>
      </c>
      <c r="M362" t="s">
        <v>257</v>
      </c>
    </row>
    <row r="363" spans="1:13" x14ac:dyDescent="0.2">
      <c r="A363" t="s">
        <v>325</v>
      </c>
      <c r="B363">
        <v>976</v>
      </c>
      <c r="C363">
        <v>5269</v>
      </c>
      <c r="D363" t="str">
        <f>VLOOKUP(B363,[1]ManipulationPage!$A$3:$D$541,4,FALSE)</f>
        <v>Soup</v>
      </c>
      <c r="E363" t="s">
        <v>1386</v>
      </c>
      <c r="F363" t="s">
        <v>1546</v>
      </c>
      <c r="G363" t="str">
        <f>VLOOKUP($F363,RecipeNotes!$A$2:$E$62,3,FALSE)</f>
        <v>Shortcut recipe: Fry onions and spices on a pan. Add veggies. Add water with stock/broth. Blend the soup. Taste and balance with salt, sugar, sour, and umami.</v>
      </c>
      <c r="H363" t="str">
        <f>VLOOKUP($F363,RecipeNotes!$A$2:$E$62,5,FALSE)</f>
        <v>Shortcut opskrift: Steg løg og krydderier på panden. Tilføj grøntsager Til føj vand med buillon. Blend suppen. Smag til med salt, sukker, syre og umami.</v>
      </c>
      <c r="I363" t="s">
        <v>253</v>
      </c>
      <c r="J363" t="s">
        <v>254</v>
      </c>
      <c r="K363" t="s">
        <v>255</v>
      </c>
      <c r="L363" t="s">
        <v>326</v>
      </c>
      <c r="M363" t="s">
        <v>257</v>
      </c>
    </row>
    <row r="364" spans="1:13" x14ac:dyDescent="0.2">
      <c r="A364" t="s">
        <v>327</v>
      </c>
      <c r="B364">
        <v>981</v>
      </c>
      <c r="C364">
        <v>5333</v>
      </c>
      <c r="D364" t="str">
        <f>VLOOKUP(B364,[1]ManipulationPage!$A$3:$D$541,4,FALSE)</f>
        <v>Soup</v>
      </c>
      <c r="E364" t="s">
        <v>1386</v>
      </c>
      <c r="F364" t="s">
        <v>1546</v>
      </c>
      <c r="G364" t="str">
        <f>VLOOKUP($F364,RecipeNotes!$A$2:$E$62,3,FALSE)</f>
        <v>Shortcut recipe: Fry onions and spices on a pan. Add veggies. Add water with stock/broth. Blend the soup. Taste and balance with salt, sugar, sour, and umami.</v>
      </c>
      <c r="H364" t="str">
        <f>VLOOKUP($F364,RecipeNotes!$A$2:$E$62,5,FALSE)</f>
        <v>Shortcut opskrift: Steg løg og krydderier på panden. Tilføj grøntsager Til føj vand med buillon. Blend suppen. Smag til med salt, sukker, syre og umami.</v>
      </c>
      <c r="I364" t="s">
        <v>253</v>
      </c>
      <c r="J364" t="s">
        <v>254</v>
      </c>
      <c r="K364" t="s">
        <v>255</v>
      </c>
      <c r="L364" t="s">
        <v>312</v>
      </c>
      <c r="M364" t="s">
        <v>257</v>
      </c>
    </row>
    <row r="365" spans="1:13" x14ac:dyDescent="0.2">
      <c r="A365" t="s">
        <v>328</v>
      </c>
      <c r="B365">
        <v>227</v>
      </c>
      <c r="C365">
        <v>2240</v>
      </c>
      <c r="D365" t="str">
        <f>VLOOKUP(B365,[1]ManipulationPage!$A$3:$D$541,4,FALSE)</f>
        <v>Soup</v>
      </c>
      <c r="E365" t="s">
        <v>1386</v>
      </c>
      <c r="F365" t="s">
        <v>1546</v>
      </c>
      <c r="G365" t="str">
        <f>VLOOKUP($F365,RecipeNotes!$A$2:$E$62,3,FALSE)</f>
        <v>Shortcut recipe: Fry onions and spices on a pan. Add veggies. Add water with stock/broth. Blend the soup. Taste and balance with salt, sugar, sour, and umami.</v>
      </c>
      <c r="H365" t="str">
        <f>VLOOKUP($F365,RecipeNotes!$A$2:$E$62,5,FALSE)</f>
        <v>Shortcut opskrift: Steg løg og krydderier på panden. Tilføj grøntsager Til føj vand med buillon. Blend suppen. Smag til med salt, sukker, syre og umami.</v>
      </c>
      <c r="I365" t="s">
        <v>253</v>
      </c>
      <c r="J365" t="s">
        <v>254</v>
      </c>
      <c r="K365" t="s">
        <v>255</v>
      </c>
      <c r="L365" t="s">
        <v>256</v>
      </c>
      <c r="M365" t="s">
        <v>257</v>
      </c>
    </row>
    <row r="366" spans="1:13" x14ac:dyDescent="0.2">
      <c r="A366" t="s">
        <v>8</v>
      </c>
      <c r="B366">
        <v>1061</v>
      </c>
      <c r="C366">
        <v>7891</v>
      </c>
      <c r="D366" t="str">
        <f>VLOOKUP(B366,[1]ManipulationPage!$A$3:$D$541,4,FALSE)</f>
        <v>Spain</v>
      </c>
      <c r="E366" t="s">
        <v>1386</v>
      </c>
      <c r="F366" t="s">
        <v>400</v>
      </c>
      <c r="G366" t="str">
        <f>VLOOKUP($F366,RecipeNotes!$A$2:$E$62,3,FALSE)</f>
        <v>Shortcut recipe: Add veggies with bread to a blender and pulse to the desired texture. Cool it down in fridge. Taste and balance with salt, sugar, sour, and umami.</v>
      </c>
      <c r="H366" t="str">
        <f>VLOOKUP($F366,RecipeNotes!$A$2:$E$62,5,FALSE)</f>
        <v>Shortcut opskrift: Tilføj grøntsager med brød i blenderen og glend til din ønskede tekstur. Lad hvile i køleren i mindst en halv time. Smag til med salt, sukker, syre og umami.</v>
      </c>
      <c r="I366" t="s">
        <v>9</v>
      </c>
      <c r="J366" t="s">
        <v>10</v>
      </c>
      <c r="K366" t="s">
        <v>11</v>
      </c>
    </row>
    <row r="367" spans="1:13" x14ac:dyDescent="0.2">
      <c r="A367" t="s">
        <v>63</v>
      </c>
      <c r="B367">
        <v>1079</v>
      </c>
      <c r="C367">
        <v>8777</v>
      </c>
      <c r="D367" t="str">
        <f>VLOOKUP(B367,[1]ManipulationPage!$A$3:$D$541,4,FALSE)</f>
        <v>Spain</v>
      </c>
      <c r="F367" t="s">
        <v>400</v>
      </c>
      <c r="G367" t="str">
        <f>VLOOKUP($F367,RecipeNotes!$A$2:$E$62,3,FALSE)</f>
        <v>Shortcut recipe: Add veggies with bread to a blender and pulse to the desired texture. Cool it down in fridge. Taste and balance with salt, sugar, sour, and umami.</v>
      </c>
      <c r="H367" t="str">
        <f>VLOOKUP($F367,RecipeNotes!$A$2:$E$62,5,FALSE)</f>
        <v>Shortcut opskrift: Tilføj grøntsager med brød i blenderen og glend til din ønskede tekstur. Lad hvile i køleren i mindst en halv time. Smag til med salt, sukker, syre og umami.</v>
      </c>
    </row>
    <row r="368" spans="1:13" x14ac:dyDescent="0.2">
      <c r="A368" t="s">
        <v>303</v>
      </c>
      <c r="B368">
        <v>1062</v>
      </c>
      <c r="C368">
        <v>7907</v>
      </c>
      <c r="D368" t="str">
        <f>VLOOKUP(B368,[1]ManipulationPage!$A$3:$D$541,4,FALSE)</f>
        <v>Spain</v>
      </c>
      <c r="E368">
        <v>2</v>
      </c>
      <c r="F368" t="s">
        <v>400</v>
      </c>
      <c r="G368" t="str">
        <f>VLOOKUP($F368,RecipeNotes!$A$2:$E$62,3,FALSE)</f>
        <v>Shortcut recipe: Add veggies with bread to a blender and pulse to the desired texture. Cool it down in fridge. Taste and balance with salt, sugar, sour, and umami.</v>
      </c>
      <c r="H368" t="str">
        <f>VLOOKUP($F368,RecipeNotes!$A$2:$E$62,5,FALSE)</f>
        <v>Shortcut opskrift: Tilføj grøntsager med brød i blenderen og glend til din ønskede tekstur. Lad hvile i køleren i mindst en halv time. Smag til med salt, sukker, syre og umami.</v>
      </c>
    </row>
    <row r="369" spans="1:13" x14ac:dyDescent="0.2">
      <c r="A369" t="s">
        <v>400</v>
      </c>
      <c r="B369">
        <v>135</v>
      </c>
      <c r="C369">
        <v>1701</v>
      </c>
      <c r="D369" t="str">
        <f>VLOOKUP(B369,[1]ManipulationPage!$A$3:$D$541,4,FALSE)</f>
        <v>Spain</v>
      </c>
      <c r="E369" t="s">
        <v>1386</v>
      </c>
      <c r="F369" t="s">
        <v>400</v>
      </c>
      <c r="G369" t="str">
        <f>VLOOKUP($F369,RecipeNotes!$A$2:$E$62,3,FALSE)</f>
        <v>Shortcut recipe: Add veggies with bread to a blender and pulse to the desired texture. Cool it down in fridge. Taste and balance with salt, sugar, sour, and umami.</v>
      </c>
      <c r="H369" t="str">
        <f>VLOOKUP($F369,RecipeNotes!$A$2:$E$62,5,FALSE)</f>
        <v>Shortcut opskrift: Tilføj grøntsager med brød i blenderen og glend til din ønskede tekstur. Lad hvile i køleren i mindst en halv time. Smag til med salt, sukker, syre og umami.</v>
      </c>
      <c r="I369" t="s">
        <v>9</v>
      </c>
      <c r="J369" t="s">
        <v>10</v>
      </c>
      <c r="K369" t="s">
        <v>11</v>
      </c>
    </row>
    <row r="370" spans="1:13" x14ac:dyDescent="0.2">
      <c r="A370" t="s">
        <v>605</v>
      </c>
      <c r="B370">
        <v>632</v>
      </c>
      <c r="C370">
        <v>3401</v>
      </c>
      <c r="D370" t="str">
        <f>VLOOKUP(B370,[1]ManipulationPage!$A$3:$D$541,4,FALSE)</f>
        <v>Spain</v>
      </c>
      <c r="F370" t="s">
        <v>604</v>
      </c>
      <c r="G370" t="str">
        <f>VLOOKUP($F370,RecipeNotes!$A$2:$E$62,3,FALSE)</f>
        <v>Shortcut recipe: Fry onions and spices on a pan. Mix with cooked pasta, including a cup of the pasta water (for creamy consistency).</v>
      </c>
      <c r="H370" t="str">
        <f>VLOOKUP($F370,RecipeNotes!$A$2:$E$62,5,FALSE)</f>
        <v>Shortcut opskrift: Steg løg og krydderier på panden. Ibland den kogte pasta med en kop pasta vand.</v>
      </c>
    </row>
    <row r="371" spans="1:13" x14ac:dyDescent="0.2">
      <c r="A371" t="s">
        <v>617</v>
      </c>
      <c r="B371">
        <v>1063</v>
      </c>
      <c r="C371">
        <v>7925</v>
      </c>
      <c r="D371" t="str">
        <f>VLOOKUP(B371,[1]ManipulationPage!$A$3:$D$541,4,FALSE)</f>
        <v>Spain</v>
      </c>
      <c r="E371">
        <v>2</v>
      </c>
      <c r="F371" t="s">
        <v>400</v>
      </c>
      <c r="G371" t="str">
        <f>VLOOKUP($F371,RecipeNotes!$A$2:$E$62,3,FALSE)</f>
        <v>Shortcut recipe: Add veggies with bread to a blender and pulse to the desired texture. Cool it down in fridge. Taste and balance with salt, sugar, sour, and umami.</v>
      </c>
      <c r="H371" t="str">
        <f>VLOOKUP($F371,RecipeNotes!$A$2:$E$62,5,FALSE)</f>
        <v>Shortcut opskrift: Tilføj grøntsager med brød i blenderen og glend til din ønskede tekstur. Lad hvile i køleren i mindst en halv time. Smag til med salt, sukker, syre og umami.</v>
      </c>
    </row>
    <row r="372" spans="1:13" x14ac:dyDescent="0.2">
      <c r="A372" t="s">
        <v>748</v>
      </c>
      <c r="B372">
        <v>1070</v>
      </c>
      <c r="C372">
        <v>8172</v>
      </c>
      <c r="D372" t="str">
        <f>VLOOKUP(B372,[1]ManipulationPage!$A$3:$D$541,4,FALSE)</f>
        <v>Spain</v>
      </c>
      <c r="E372" t="s">
        <v>1386</v>
      </c>
      <c r="F372" t="s">
        <v>521</v>
      </c>
      <c r="G372" t="str">
        <f>VLOOKUP($F372,RecipeNotes!$A$2:$E$62,3,FALSE)</f>
        <v>Shortcut recipe: Mash your veggie with a blender or fork, mixing in some oil or butter for creaminess.</v>
      </c>
      <c r="H372" t="str">
        <f>VLOOKUP($F372,RecipeNotes!$A$2:$E$62,5,FALSE)</f>
        <v>Shortcut opskrift: Blend dine grøntsager med lidt smør/olie med en gaffel eller en blender.</v>
      </c>
    </row>
    <row r="373" spans="1:13" x14ac:dyDescent="0.2">
      <c r="A373" t="s">
        <v>749</v>
      </c>
      <c r="B373">
        <v>32</v>
      </c>
      <c r="C373">
        <v>1141</v>
      </c>
      <c r="D373" t="str">
        <f>VLOOKUP(B373,[1]ManipulationPage!$A$3:$D$541,4,FALSE)</f>
        <v>Spain</v>
      </c>
      <c r="E373" t="s">
        <v>1386</v>
      </c>
      <c r="F373" t="s">
        <v>576</v>
      </c>
      <c r="G373" t="str">
        <f>VLOOKUP($F373,RecipeNotes!$A$2:$E$62,3,FALSE)</f>
        <v>Shortcut recipe: Fry onions and spices on a pan. Whisk eggs well with salt, then add to pan. Omelette is done when egg isn't runny.</v>
      </c>
      <c r="H373" t="str">
        <f>VLOOKUP($F373,RecipeNotes!$A$2:$E$62,5,FALSE)</f>
        <v>Shortcut opskrift: Steg løg og krydderier på panden. Bland æg grundigt med salt og andre smags-ingredienser. Tilføj så til panden. Omeletten er klar, når ægget ikke løber længere.</v>
      </c>
      <c r="I373" t="s">
        <v>750</v>
      </c>
      <c r="J373" t="s">
        <v>751</v>
      </c>
      <c r="K373" t="s">
        <v>752</v>
      </c>
    </row>
    <row r="374" spans="1:13" x14ac:dyDescent="0.2">
      <c r="A374" t="s">
        <v>112</v>
      </c>
      <c r="B374">
        <v>1011</v>
      </c>
      <c r="C374">
        <v>5842</v>
      </c>
      <c r="D374" t="str">
        <f>VLOOKUP(B374,[1]ManipulationPage!$A$3:$D$541,4,FALSE)</f>
        <v>Stew</v>
      </c>
      <c r="E374" t="s">
        <v>1386</v>
      </c>
      <c r="F374" t="s">
        <v>770</v>
      </c>
      <c r="G374" t="str">
        <f>VLOOKUP($F374,RecipeNotes!$A$2:$E$62,3,FALSE)</f>
        <v xml:space="preserve">Shortcut recipe: Fry onions and spices on a pan. Add veggies. Add water with stock/broth. Taste and balance with salt, sugar, sour, and umami.  </v>
      </c>
      <c r="H374" t="str">
        <f>VLOOKUP($F374,RecipeNotes!$A$2:$E$62,5,FALSE)</f>
        <v xml:space="preserve">Shortcut opskrift: Steg løg og krydderier på panden. Tilføj grøntsager Til føj vand med buillon. Smag til med salt, sukker, syre og umami.  </v>
      </c>
      <c r="I374" t="s">
        <v>113</v>
      </c>
      <c r="J374" t="s">
        <v>114</v>
      </c>
      <c r="K374" t="s">
        <v>115</v>
      </c>
      <c r="L374" t="s">
        <v>116</v>
      </c>
      <c r="M374" t="s">
        <v>117</v>
      </c>
    </row>
    <row r="375" spans="1:13" x14ac:dyDescent="0.2">
      <c r="A375" t="s">
        <v>168</v>
      </c>
      <c r="B375">
        <v>1009</v>
      </c>
      <c r="C375">
        <v>5814</v>
      </c>
      <c r="D375" t="str">
        <f>VLOOKUP(B375,[1]ManipulationPage!$A$3:$D$541,4,FALSE)</f>
        <v>Stew</v>
      </c>
      <c r="E375" t="s">
        <v>1386</v>
      </c>
      <c r="F375" t="s">
        <v>770</v>
      </c>
      <c r="G375" t="str">
        <f>VLOOKUP($F375,RecipeNotes!$A$2:$E$62,3,FALSE)</f>
        <v xml:space="preserve">Shortcut recipe: Fry onions and spices on a pan. Add veggies. Add water with stock/broth. Taste and balance with salt, sugar, sour, and umami.  </v>
      </c>
      <c r="H375" t="str">
        <f>VLOOKUP($F375,RecipeNotes!$A$2:$E$62,5,FALSE)</f>
        <v xml:space="preserve">Shortcut opskrift: Steg løg og krydderier på panden. Tilføj grøntsager Til føj vand med buillon. Smag til med salt, sukker, syre og umami.  </v>
      </c>
      <c r="I375" t="s">
        <v>113</v>
      </c>
      <c r="J375" t="s">
        <v>114</v>
      </c>
      <c r="K375" t="s">
        <v>115</v>
      </c>
      <c r="L375" t="s">
        <v>116</v>
      </c>
      <c r="M375" t="s">
        <v>117</v>
      </c>
    </row>
    <row r="376" spans="1:13" x14ac:dyDescent="0.2">
      <c r="A376" t="s">
        <v>192</v>
      </c>
      <c r="B376">
        <v>132</v>
      </c>
      <c r="C376">
        <v>1679</v>
      </c>
      <c r="D376" t="str">
        <f>VLOOKUP(B376,[1]ManipulationPage!$A$3:$D$541,4,FALSE)</f>
        <v>Stew</v>
      </c>
      <c r="E376" t="s">
        <v>1386</v>
      </c>
      <c r="F376" t="s">
        <v>192</v>
      </c>
      <c r="G376" t="str">
        <f>VLOOKUP($F376,RecipeNotes!$A$2:$E$62,3,FALSE)</f>
        <v>Shortcut recipe: Put a layer of cooked grains on-top of your sauce. Bake in the oven for 30+ minutes (180 degrees)</v>
      </c>
      <c r="H376" t="str">
        <f>VLOOKUP($F376,RecipeNotes!$A$2:$E$62,5,FALSE)</f>
        <v>Shortcut opskrift: Put et lag af dine kogte korn på toppen. Bag i ovnen i +30 minutter ved 180 grader.</v>
      </c>
      <c r="I376" t="s">
        <v>47</v>
      </c>
      <c r="J376" t="s">
        <v>48</v>
      </c>
      <c r="K376" t="s">
        <v>49</v>
      </c>
      <c r="M376" t="s">
        <v>193</v>
      </c>
    </row>
    <row r="377" spans="1:13" x14ac:dyDescent="0.2">
      <c r="A377" t="s">
        <v>226</v>
      </c>
      <c r="B377">
        <v>1010</v>
      </c>
      <c r="C377">
        <v>5820</v>
      </c>
      <c r="D377" t="str">
        <f>VLOOKUP(B377,[1]ManipulationPage!$A$3:$D$541,4,FALSE)</f>
        <v>Stew</v>
      </c>
      <c r="E377" t="s">
        <v>1386</v>
      </c>
      <c r="F377" t="s">
        <v>770</v>
      </c>
      <c r="G377" t="str">
        <f>VLOOKUP($F377,RecipeNotes!$A$2:$E$62,3,FALSE)</f>
        <v xml:space="preserve">Shortcut recipe: Fry onions and spices on a pan. Add veggies. Add water with stock/broth. Taste and balance with salt, sugar, sour, and umami.  </v>
      </c>
      <c r="H377" t="str">
        <f>VLOOKUP($F377,RecipeNotes!$A$2:$E$62,5,FALSE)</f>
        <v xml:space="preserve">Shortcut opskrift: Steg løg og krydderier på panden. Tilføj grøntsager Til føj vand med buillon. Smag til med salt, sukker, syre og umami.  </v>
      </c>
      <c r="I377" t="s">
        <v>113</v>
      </c>
      <c r="J377" t="s">
        <v>114</v>
      </c>
      <c r="K377" t="s">
        <v>115</v>
      </c>
      <c r="L377" t="s">
        <v>116</v>
      </c>
      <c r="M377" t="s">
        <v>117</v>
      </c>
    </row>
    <row r="378" spans="1:13" x14ac:dyDescent="0.2">
      <c r="A378" t="s">
        <v>479</v>
      </c>
      <c r="B378">
        <v>1004</v>
      </c>
      <c r="C378">
        <v>5744</v>
      </c>
      <c r="D378" t="str">
        <f>VLOOKUP(B378,[1]ManipulationPage!$A$3:$D$541,4,FALSE)</f>
        <v>Stew</v>
      </c>
      <c r="E378" t="s">
        <v>1386</v>
      </c>
      <c r="F378" t="s">
        <v>770</v>
      </c>
      <c r="G378" t="str">
        <f>VLOOKUP($F378,RecipeNotes!$A$2:$E$62,3,FALSE)</f>
        <v xml:space="preserve">Shortcut recipe: Fry onions and spices on a pan. Add veggies. Add water with stock/broth. Taste and balance with salt, sugar, sour, and umami.  </v>
      </c>
      <c r="H378" t="str">
        <f>VLOOKUP($F378,RecipeNotes!$A$2:$E$62,5,FALSE)</f>
        <v xml:space="preserve">Shortcut opskrift: Steg løg og krydderier på panden. Tilføj grøntsager Til føj vand med buillon. Smag til med salt, sukker, syre og umami.  </v>
      </c>
      <c r="I378" t="s">
        <v>113</v>
      </c>
      <c r="J378" t="s">
        <v>114</v>
      </c>
      <c r="K378" t="s">
        <v>115</v>
      </c>
      <c r="L378" t="s">
        <v>116</v>
      </c>
      <c r="M378" t="s">
        <v>117</v>
      </c>
    </row>
    <row r="379" spans="1:13" x14ac:dyDescent="0.2">
      <c r="A379" t="s">
        <v>557</v>
      </c>
      <c r="B379">
        <v>1007</v>
      </c>
      <c r="C379">
        <v>5778</v>
      </c>
      <c r="D379" t="str">
        <f>VLOOKUP(B379,[1]ManipulationPage!$A$3:$D$541,4,FALSE)</f>
        <v>Stew</v>
      </c>
      <c r="E379" t="s">
        <v>1386</v>
      </c>
      <c r="F379" t="s">
        <v>770</v>
      </c>
      <c r="G379" t="str">
        <f>VLOOKUP($F379,RecipeNotes!$A$2:$E$62,3,FALSE)</f>
        <v xml:space="preserve">Shortcut recipe: Fry onions and spices on a pan. Add veggies. Add water with stock/broth. Taste and balance with salt, sugar, sour, and umami.  </v>
      </c>
      <c r="H379" t="str">
        <f>VLOOKUP($F379,RecipeNotes!$A$2:$E$62,5,FALSE)</f>
        <v xml:space="preserve">Shortcut opskrift: Steg løg og krydderier på panden. Tilføj grøntsager Til føj vand med buillon. Smag til med salt, sukker, syre og umami.  </v>
      </c>
      <c r="I379" t="s">
        <v>113</v>
      </c>
      <c r="J379" t="s">
        <v>114</v>
      </c>
      <c r="K379" t="s">
        <v>115</v>
      </c>
      <c r="L379" t="s">
        <v>116</v>
      </c>
      <c r="M379" t="s">
        <v>117</v>
      </c>
    </row>
    <row r="380" spans="1:13" x14ac:dyDescent="0.2">
      <c r="A380" t="s">
        <v>631</v>
      </c>
      <c r="B380">
        <v>1008</v>
      </c>
      <c r="C380">
        <v>5784</v>
      </c>
      <c r="D380" t="str">
        <f>VLOOKUP(B380,[1]ManipulationPage!$A$3:$D$541,4,FALSE)</f>
        <v>Stew</v>
      </c>
      <c r="E380" t="s">
        <v>1386</v>
      </c>
      <c r="F380" t="s">
        <v>770</v>
      </c>
      <c r="G380" t="str">
        <f>VLOOKUP($F380,RecipeNotes!$A$2:$E$62,3,FALSE)</f>
        <v xml:space="preserve">Shortcut recipe: Fry onions and spices on a pan. Add veggies. Add water with stock/broth. Taste and balance with salt, sugar, sour, and umami.  </v>
      </c>
      <c r="H380" t="str">
        <f>VLOOKUP($F380,RecipeNotes!$A$2:$E$62,5,FALSE)</f>
        <v xml:space="preserve">Shortcut opskrift: Steg løg og krydderier på panden. Tilføj grøntsager Til føj vand med buillon. Smag til med salt, sukker, syre og umami.  </v>
      </c>
      <c r="I380" t="s">
        <v>113</v>
      </c>
      <c r="J380" t="s">
        <v>114</v>
      </c>
      <c r="K380" t="s">
        <v>115</v>
      </c>
      <c r="L380" t="s">
        <v>116</v>
      </c>
      <c r="M380" t="s">
        <v>117</v>
      </c>
    </row>
    <row r="381" spans="1:13" x14ac:dyDescent="0.2">
      <c r="A381" t="s">
        <v>639</v>
      </c>
      <c r="B381">
        <v>1006</v>
      </c>
      <c r="C381">
        <v>5764</v>
      </c>
      <c r="D381" t="str">
        <f>VLOOKUP(B381,[1]ManipulationPage!$A$3:$D$541,4,FALSE)</f>
        <v>Stew</v>
      </c>
      <c r="E381" t="s">
        <v>1386</v>
      </c>
      <c r="F381" t="s">
        <v>770</v>
      </c>
      <c r="G381" t="str">
        <f>VLOOKUP($F381,RecipeNotes!$A$2:$E$62,3,FALSE)</f>
        <v xml:space="preserve">Shortcut recipe: Fry onions and spices on a pan. Add veggies. Add water with stock/broth. Taste and balance with salt, sugar, sour, and umami.  </v>
      </c>
      <c r="H381" t="str">
        <f>VLOOKUP($F381,RecipeNotes!$A$2:$E$62,5,FALSE)</f>
        <v xml:space="preserve">Shortcut opskrift: Steg løg og krydderier på panden. Tilføj grøntsager Til føj vand med buillon. Smag til med salt, sukker, syre og umami.  </v>
      </c>
      <c r="I381" t="s">
        <v>113</v>
      </c>
      <c r="J381" t="s">
        <v>114</v>
      </c>
      <c r="K381" t="s">
        <v>115</v>
      </c>
      <c r="L381" t="s">
        <v>116</v>
      </c>
      <c r="M381" t="s">
        <v>117</v>
      </c>
    </row>
    <row r="382" spans="1:13" x14ac:dyDescent="0.2">
      <c r="A382" t="s">
        <v>649</v>
      </c>
      <c r="B382">
        <v>1005</v>
      </c>
      <c r="C382">
        <v>5750</v>
      </c>
      <c r="D382" t="str">
        <f>VLOOKUP(B382,[1]ManipulationPage!$A$3:$D$541,4,FALSE)</f>
        <v>Stew</v>
      </c>
      <c r="E382" t="s">
        <v>1386</v>
      </c>
      <c r="F382" t="s">
        <v>770</v>
      </c>
      <c r="G382" t="str">
        <f>VLOOKUP($F382,RecipeNotes!$A$2:$E$62,3,FALSE)</f>
        <v xml:space="preserve">Shortcut recipe: Fry onions and spices on a pan. Add veggies. Add water with stock/broth. Taste and balance with salt, sugar, sour, and umami.  </v>
      </c>
      <c r="H382" t="str">
        <f>VLOOKUP($F382,RecipeNotes!$A$2:$E$62,5,FALSE)</f>
        <v xml:space="preserve">Shortcut opskrift: Steg løg og krydderier på panden. Tilføj grøntsager Til føj vand med buillon. Smag til med salt, sukker, syre og umami.  </v>
      </c>
      <c r="I382" t="s">
        <v>113</v>
      </c>
      <c r="J382" t="s">
        <v>114</v>
      </c>
      <c r="K382" t="s">
        <v>115</v>
      </c>
      <c r="L382" t="s">
        <v>116</v>
      </c>
      <c r="M382" t="s">
        <v>117</v>
      </c>
    </row>
    <row r="383" spans="1:13" x14ac:dyDescent="0.2">
      <c r="A383" t="s">
        <v>770</v>
      </c>
      <c r="B383">
        <v>88</v>
      </c>
      <c r="C383">
        <v>1403</v>
      </c>
      <c r="D383" t="str">
        <f>VLOOKUP(B383,[1]ManipulationPage!$A$3:$D$541,4,FALSE)</f>
        <v>Stew</v>
      </c>
      <c r="E383" t="s">
        <v>1386</v>
      </c>
      <c r="F383" t="s">
        <v>770</v>
      </c>
      <c r="G383" t="str">
        <f>VLOOKUP($F383,RecipeNotes!$A$2:$E$62,3,FALSE)</f>
        <v xml:space="preserve">Shortcut recipe: Fry onions and spices on a pan. Add veggies. Add water with stock/broth. Taste and balance with salt, sugar, sour, and umami.  </v>
      </c>
      <c r="H383" t="str">
        <f>VLOOKUP($F383,RecipeNotes!$A$2:$E$62,5,FALSE)</f>
        <v xml:space="preserve">Shortcut opskrift: Steg løg og krydderier på panden. Tilføj grøntsager Til føj vand med buillon. Smag til med salt, sukker, syre og umami.  </v>
      </c>
      <c r="I383" t="s">
        <v>113</v>
      </c>
      <c r="J383" t="s">
        <v>114</v>
      </c>
      <c r="K383" t="s">
        <v>115</v>
      </c>
      <c r="L383" t="s">
        <v>723</v>
      </c>
      <c r="M383" t="s">
        <v>117</v>
      </c>
    </row>
    <row r="384" spans="1:13" x14ac:dyDescent="0.2">
      <c r="A384" t="s">
        <v>801</v>
      </c>
      <c r="B384">
        <v>1003</v>
      </c>
      <c r="C384">
        <v>5726</v>
      </c>
      <c r="D384" t="str">
        <f>VLOOKUP(B384,[1]ManipulationPage!$A$3:$D$541,4,FALSE)</f>
        <v>Stew</v>
      </c>
      <c r="E384" t="s">
        <v>1386</v>
      </c>
      <c r="F384" t="s">
        <v>770</v>
      </c>
      <c r="G384" t="str">
        <f>VLOOKUP($F384,RecipeNotes!$A$2:$E$62,3,FALSE)</f>
        <v xml:space="preserve">Shortcut recipe: Fry onions and spices on a pan. Add veggies. Add water with stock/broth. Taste and balance with salt, sugar, sour, and umami.  </v>
      </c>
      <c r="H384" t="str">
        <f>VLOOKUP($F384,RecipeNotes!$A$2:$E$62,5,FALSE)</f>
        <v xml:space="preserve">Shortcut opskrift: Steg løg og krydderier på panden. Tilføj grøntsager Til føj vand med buillon. Smag til med salt, sukker, syre og umami.  </v>
      </c>
      <c r="I384" t="s">
        <v>113</v>
      </c>
      <c r="J384" t="s">
        <v>114</v>
      </c>
      <c r="K384" t="s">
        <v>115</v>
      </c>
      <c r="L384" t="s">
        <v>116</v>
      </c>
      <c r="M384" t="s">
        <v>117</v>
      </c>
    </row>
    <row r="385" spans="1:13" x14ac:dyDescent="0.2">
      <c r="A385" t="s">
        <v>884</v>
      </c>
      <c r="B385">
        <v>896</v>
      </c>
      <c r="C385">
        <v>3986</v>
      </c>
      <c r="D385" t="str">
        <f>VLOOKUP(B385,[1]ManipulationPage!$A$3:$D$541,4,FALSE)</f>
        <v>Stew</v>
      </c>
      <c r="E385" t="s">
        <v>1386</v>
      </c>
      <c r="F385" t="s">
        <v>770</v>
      </c>
      <c r="G385" t="str">
        <f>VLOOKUP($F385,RecipeNotes!$A$2:$E$62,3,FALSE)</f>
        <v xml:space="preserve">Shortcut recipe: Fry onions and spices on a pan. Add veggies. Add water with stock/broth. Taste and balance with salt, sugar, sour, and umami.  </v>
      </c>
      <c r="H385" t="str">
        <f>VLOOKUP($F385,RecipeNotes!$A$2:$E$62,5,FALSE)</f>
        <v xml:space="preserve">Shortcut opskrift: Steg løg og krydderier på panden. Tilføj grøntsager Til føj vand med buillon. Smag til med salt, sukker, syre og umami.  </v>
      </c>
    </row>
    <row r="386" spans="1:13" x14ac:dyDescent="0.2">
      <c r="A386" t="s">
        <v>780</v>
      </c>
      <c r="B386">
        <v>1068</v>
      </c>
      <c r="C386">
        <v>8043</v>
      </c>
      <c r="D386" t="str">
        <f>VLOOKUP(B386,[1]ManipulationPage!$A$3:$D$541,4,FALSE)</f>
        <v>Stuffed</v>
      </c>
      <c r="F386" t="s">
        <v>1646</v>
      </c>
      <c r="G386" t="str">
        <f>VLOOKUP($F386,RecipeNotes!$A$2:$E$62,3,FALSE)</f>
        <v>Shortcut recipe: Fry onions and spices on a pan. Put all veggies and condiments into the veggie and roast it all in the oven for 20-30 minutes or until tender.</v>
      </c>
      <c r="H386" t="str">
        <f>VLOOKUP($F386,RecipeNotes!$A$2:$E$62,5,FALSE)</f>
        <v>Shortcut opskrift: Steg løg og krydderier på panden. Put all grøntsager og krydderier ind i beholderen og bag i ovnen i 20-30 minutter.</v>
      </c>
    </row>
    <row r="387" spans="1:13" x14ac:dyDescent="0.2">
      <c r="A387" t="s">
        <v>785</v>
      </c>
      <c r="B387">
        <v>240</v>
      </c>
      <c r="C387">
        <v>2316</v>
      </c>
      <c r="D387" t="str">
        <f>VLOOKUP(B387,[1]ManipulationPage!$A$3:$D$541,4,FALSE)</f>
        <v>Stuffed</v>
      </c>
      <c r="F387" t="s">
        <v>1646</v>
      </c>
      <c r="G387" t="str">
        <f>VLOOKUP($F387,RecipeNotes!$A$2:$E$62,3,FALSE)</f>
        <v>Shortcut recipe: Fry onions and spices on a pan. Put all veggies and condiments into the veggie and roast it all in the oven for 20-30 minutes or until tender.</v>
      </c>
      <c r="H387" t="str">
        <f>VLOOKUP($F387,RecipeNotes!$A$2:$E$62,5,FALSE)</f>
        <v>Shortcut opskrift: Steg løg og krydderier på panden. Put all grøntsager og krydderier ind i beholderen og bag i ovnen i 20-30 minutter.</v>
      </c>
      <c r="I387" t="s">
        <v>782</v>
      </c>
      <c r="J387" t="s">
        <v>783</v>
      </c>
      <c r="K387" t="s">
        <v>784</v>
      </c>
    </row>
    <row r="388" spans="1:13" x14ac:dyDescent="0.2">
      <c r="A388" t="s">
        <v>786</v>
      </c>
      <c r="B388">
        <v>239</v>
      </c>
      <c r="C388">
        <v>2310</v>
      </c>
      <c r="D388" t="str">
        <f>VLOOKUP(B388,[1]ManipulationPage!$A$3:$D$541,4,FALSE)</f>
        <v>Stuffed</v>
      </c>
      <c r="F388" t="s">
        <v>1646</v>
      </c>
      <c r="G388" t="str">
        <f>VLOOKUP($F388,RecipeNotes!$A$2:$E$62,3,FALSE)</f>
        <v>Shortcut recipe: Fry onions and spices on a pan. Put all veggies and condiments into the veggie and roast it all in the oven for 20-30 minutes or until tender.</v>
      </c>
      <c r="H388" t="str">
        <f>VLOOKUP($F388,RecipeNotes!$A$2:$E$62,5,FALSE)</f>
        <v>Shortcut opskrift: Steg løg og krydderier på panden. Put all grøntsager og krydderier ind i beholderen og bag i ovnen i 20-30 minutter.</v>
      </c>
      <c r="I388" t="s">
        <v>782</v>
      </c>
      <c r="J388" t="s">
        <v>783</v>
      </c>
      <c r="K388" t="s">
        <v>784</v>
      </c>
    </row>
    <row r="389" spans="1:13" x14ac:dyDescent="0.2">
      <c r="A389" t="s">
        <v>787</v>
      </c>
      <c r="B389">
        <v>143</v>
      </c>
      <c r="C389">
        <v>1757</v>
      </c>
      <c r="D389" t="str">
        <f>VLOOKUP(B389,[1]ManipulationPage!$A$3:$D$541,4,FALSE)</f>
        <v>Stuffed</v>
      </c>
      <c r="F389" t="s">
        <v>1646</v>
      </c>
      <c r="G389" t="str">
        <f>VLOOKUP($F389,RecipeNotes!$A$2:$E$62,3,FALSE)</f>
        <v>Shortcut recipe: Fry onions and spices on a pan. Put all veggies and condiments into the veggie and roast it all in the oven for 20-30 minutes or until tender.</v>
      </c>
      <c r="H389" t="str">
        <f>VLOOKUP($F389,RecipeNotes!$A$2:$E$62,5,FALSE)</f>
        <v>Shortcut opskrift: Steg løg og krydderier på panden. Put all grøntsager og krydderier ind i beholderen og bag i ovnen i 20-30 minutter.</v>
      </c>
      <c r="I389" t="s">
        <v>782</v>
      </c>
      <c r="J389" t="s">
        <v>783</v>
      </c>
      <c r="K389" t="s">
        <v>784</v>
      </c>
      <c r="M389" t="s">
        <v>788</v>
      </c>
    </row>
    <row r="390" spans="1:13" x14ac:dyDescent="0.2">
      <c r="A390" t="s">
        <v>499</v>
      </c>
      <c r="B390">
        <v>255</v>
      </c>
      <c r="C390">
        <v>2402</v>
      </c>
      <c r="D390" t="str">
        <f>VLOOKUP(B390,[1]ManipulationPage!$A$3:$D$541,4,FALSE)</f>
        <v>Thai</v>
      </c>
      <c r="E390" t="s">
        <v>1386</v>
      </c>
      <c r="F390" t="s">
        <v>1547</v>
      </c>
      <c r="G390" t="str">
        <f>VLOOKUP($F390,RecipeNotes!$A$2:$E$62,3,FALSE)</f>
        <v xml:space="preserve">Shortcut recipe: Fry onions and spices on a pan. Add veggies. Add water with stock/broth. Taste and balance with salt, sugar, sour, and umami.  </v>
      </c>
      <c r="H390" t="str">
        <f>VLOOKUP($F390,RecipeNotes!$A$2:$E$62,5,FALSE)</f>
        <v xml:space="preserve">Shortcut opskrift: Steg løg og krydderier på panden. Tilføj grøntsager Til føj vand med buillon. Smag til med salt, sukker, syre og umami.  </v>
      </c>
      <c r="I390" t="s">
        <v>500</v>
      </c>
      <c r="J390" t="s">
        <v>501</v>
      </c>
      <c r="K390" t="s">
        <v>500</v>
      </c>
    </row>
    <row r="391" spans="1:13" x14ac:dyDescent="0.2">
      <c r="A391" t="s">
        <v>822</v>
      </c>
      <c r="B391">
        <v>925</v>
      </c>
      <c r="C391">
        <v>4105</v>
      </c>
      <c r="D391" t="str">
        <f>VLOOKUP(B391,[1]ManipulationPage!$A$3:$D$541,4,FALSE)</f>
        <v>Thai</v>
      </c>
      <c r="E391" t="s">
        <v>1386</v>
      </c>
      <c r="F391" t="s">
        <v>772</v>
      </c>
      <c r="G391" t="str">
        <f>VLOOKUP($F391,RecipeNotes!$A$2:$E$62,3,FALSE)</f>
        <v>Shortcut recipe: Fry onions and spices on a pan. Add veggies. Taste and balance with salt, sugar, sour, and umami.</v>
      </c>
      <c r="H391" t="str">
        <f>VLOOKUP($F391,RecipeNotes!$A$2:$E$62,5,FALSE)</f>
        <v>Shortcut opskrift: Steg løg og krydderier på panden. Tilføj grøntsager Smag til med salt, sukker, syre og umami.</v>
      </c>
      <c r="I391" t="s">
        <v>823</v>
      </c>
    </row>
    <row r="392" spans="1:13" x14ac:dyDescent="0.2">
      <c r="A392" t="s">
        <v>824</v>
      </c>
      <c r="B392">
        <v>1013</v>
      </c>
      <c r="C392">
        <v>5874</v>
      </c>
      <c r="D392" t="str">
        <f>VLOOKUP(B392,[1]ManipulationPage!$A$3:$D$541,4,FALSE)</f>
        <v>Thai</v>
      </c>
      <c r="E392" t="s">
        <v>1386</v>
      </c>
      <c r="F392" t="s">
        <v>772</v>
      </c>
      <c r="G392" t="str">
        <f>VLOOKUP($F392,RecipeNotes!$A$2:$E$62,3,FALSE)</f>
        <v>Shortcut recipe: Fry onions and spices on a pan. Add veggies. Taste and balance with salt, sugar, sour, and umami.</v>
      </c>
      <c r="H392" t="str">
        <f>VLOOKUP($F392,RecipeNotes!$A$2:$E$62,5,FALSE)</f>
        <v>Shortcut opskrift: Steg løg og krydderier på panden. Tilføj grøntsager Smag til med salt, sukker, syre og umami.</v>
      </c>
      <c r="I392" t="s">
        <v>825</v>
      </c>
      <c r="J392" t="s">
        <v>826</v>
      </c>
      <c r="K392" t="s">
        <v>827</v>
      </c>
      <c r="L392" t="s">
        <v>828</v>
      </c>
      <c r="M392" t="s">
        <v>829</v>
      </c>
    </row>
    <row r="393" spans="1:13" x14ac:dyDescent="0.2">
      <c r="A393" t="s">
        <v>830</v>
      </c>
      <c r="B393">
        <v>947</v>
      </c>
      <c r="D393" t="str">
        <f>VLOOKUP(B393,[1]ManipulationPage!$A$3:$D$541,4,FALSE)</f>
        <v>Thai</v>
      </c>
      <c r="E393" t="s">
        <v>1386</v>
      </c>
      <c r="F393" t="s">
        <v>604</v>
      </c>
      <c r="G393" t="str">
        <f>VLOOKUP($F393,RecipeNotes!$A$2:$E$62,3,FALSE)</f>
        <v>Shortcut recipe: Fry onions and spices on a pan. Mix with cooked pasta, including a cup of the pasta water (for creamy consistency).</v>
      </c>
      <c r="H393" t="str">
        <f>VLOOKUP($F393,RecipeNotes!$A$2:$E$62,5,FALSE)</f>
        <v>Shortcut opskrift: Steg løg og krydderier på panden. Ibland den kogte pasta med en kop pasta vand.</v>
      </c>
    </row>
    <row r="394" spans="1:13" x14ac:dyDescent="0.2">
      <c r="A394" t="s">
        <v>831</v>
      </c>
      <c r="B394">
        <v>325</v>
      </c>
      <c r="C394">
        <v>2744</v>
      </c>
      <c r="D394" t="str">
        <f>VLOOKUP(B394,[1]ManipulationPage!$A$3:$D$541,4,FALSE)</f>
        <v>Thai</v>
      </c>
      <c r="E394" t="s">
        <v>1386</v>
      </c>
      <c r="F394" t="s">
        <v>1547</v>
      </c>
      <c r="G394" t="str">
        <f>VLOOKUP($F394,RecipeNotes!$A$2:$E$62,3,FALSE)</f>
        <v xml:space="preserve">Shortcut recipe: Fry onions and spices on a pan. Add veggies. Add water with stock/broth. Taste and balance with salt, sugar, sour, and umami.  </v>
      </c>
      <c r="H394" t="str">
        <f>VLOOKUP($F394,RecipeNotes!$A$2:$E$62,5,FALSE)</f>
        <v xml:space="preserve">Shortcut opskrift: Steg løg og krydderier på panden. Tilføj grøntsager Til føj vand med buillon. Smag til med salt, sukker, syre og umami.  </v>
      </c>
      <c r="I394" t="s">
        <v>832</v>
      </c>
      <c r="J394" t="s">
        <v>832</v>
      </c>
      <c r="K394" t="s">
        <v>832</v>
      </c>
    </row>
    <row r="395" spans="1:13" x14ac:dyDescent="0.2">
      <c r="A395" t="s">
        <v>871</v>
      </c>
      <c r="B395">
        <v>912</v>
      </c>
      <c r="D395" t="str">
        <f>VLOOKUP(B395,[1]ManipulationPage!$A$3:$D$541,4,FALSE)</f>
        <v>Thai</v>
      </c>
      <c r="E395" t="s">
        <v>1386</v>
      </c>
      <c r="F395" t="s">
        <v>1547</v>
      </c>
      <c r="G395" t="str">
        <f>VLOOKUP($F395,RecipeNotes!$A$2:$E$62,3,FALSE)</f>
        <v xml:space="preserve">Shortcut recipe: Fry onions and spices on a pan. Add veggies. Add water with stock/broth. Taste and balance with salt, sugar, sour, and umami.  </v>
      </c>
      <c r="H395" t="str">
        <f>VLOOKUP($F395,RecipeNotes!$A$2:$E$62,5,FALSE)</f>
        <v xml:space="preserve">Shortcut opskrift: Steg løg og krydderier på panden. Tilføj grøntsager Til føj vand med buillon. Smag til med salt, sukker, syre og umami.  </v>
      </c>
    </row>
    <row r="396" spans="1:13" x14ac:dyDescent="0.2">
      <c r="A396" t="s">
        <v>888</v>
      </c>
      <c r="B396">
        <v>257</v>
      </c>
      <c r="C396">
        <v>2416</v>
      </c>
      <c r="D396" t="str">
        <f>VLOOKUP(B396,[1]ManipulationPage!$A$3:$D$541,4,FALSE)</f>
        <v>Thai</v>
      </c>
      <c r="E396" t="s">
        <v>1386</v>
      </c>
      <c r="F396" t="s">
        <v>772</v>
      </c>
      <c r="G396" t="str">
        <f>VLOOKUP($F396,RecipeNotes!$A$2:$E$62,3,FALSE)</f>
        <v>Shortcut recipe: Fry onions and spices on a pan. Add veggies. Taste and balance with salt, sugar, sour, and umami.</v>
      </c>
      <c r="H396" t="str">
        <f>VLOOKUP($F396,RecipeNotes!$A$2:$E$62,5,FALSE)</f>
        <v>Shortcut opskrift: Steg løg og krydderier på panden. Tilføj grøntsager Smag til med salt, sukker, syre og umami.</v>
      </c>
      <c r="I396" t="s">
        <v>97</v>
      </c>
      <c r="J396" t="s">
        <v>98</v>
      </c>
      <c r="K396" t="s">
        <v>99</v>
      </c>
      <c r="M396" t="s">
        <v>101</v>
      </c>
    </row>
    <row r="397" spans="1:13" x14ac:dyDescent="0.2">
      <c r="A397" t="s">
        <v>96</v>
      </c>
      <c r="B397">
        <v>965</v>
      </c>
      <c r="C397">
        <v>5016</v>
      </c>
      <c r="D397" t="str">
        <f>VLOOKUP(B397,[1]ManipulationPage!$A$3:$D$541,4,FALSE)</f>
        <v>wok</v>
      </c>
      <c r="E397" t="s">
        <v>1386</v>
      </c>
      <c r="F397" t="s">
        <v>772</v>
      </c>
      <c r="G397" t="str">
        <f>VLOOKUP($F397,RecipeNotes!$A$2:$E$62,3,FALSE)</f>
        <v>Shortcut recipe: Fry onions and spices on a pan. Add veggies. Taste and balance with salt, sugar, sour, and umami.</v>
      </c>
      <c r="H397" t="str">
        <f>VLOOKUP($F397,RecipeNotes!$A$2:$E$62,5,FALSE)</f>
        <v>Shortcut opskrift: Steg løg og krydderier på panden. Tilføj grøntsager Smag til med salt, sukker, syre og umami.</v>
      </c>
      <c r="I397" t="s">
        <v>97</v>
      </c>
      <c r="J397" t="s">
        <v>98</v>
      </c>
      <c r="K397" t="s">
        <v>99</v>
      </c>
      <c r="L397" t="s">
        <v>100</v>
      </c>
      <c r="M397" t="s">
        <v>101</v>
      </c>
    </row>
    <row r="398" spans="1:13" x14ac:dyDescent="0.2">
      <c r="A398" t="s">
        <v>134</v>
      </c>
      <c r="B398">
        <v>966</v>
      </c>
      <c r="C398">
        <v>5022</v>
      </c>
      <c r="D398" t="str">
        <f>VLOOKUP(B398,[1]ManipulationPage!$A$3:$D$541,4,FALSE)</f>
        <v>Wok</v>
      </c>
      <c r="E398" t="s">
        <v>1386</v>
      </c>
      <c r="F398" t="s">
        <v>772</v>
      </c>
      <c r="G398" t="str">
        <f>VLOOKUP($F398,RecipeNotes!$A$2:$E$62,3,FALSE)</f>
        <v>Shortcut recipe: Fry onions and spices on a pan. Add veggies. Taste and balance with salt, sugar, sour, and umami.</v>
      </c>
      <c r="H398" t="str">
        <f>VLOOKUP($F398,RecipeNotes!$A$2:$E$62,5,FALSE)</f>
        <v>Shortcut opskrift: Steg løg og krydderier på panden. Tilføj grøntsager Smag til med salt, sukker, syre og umami.</v>
      </c>
      <c r="I398" t="s">
        <v>97</v>
      </c>
      <c r="J398" t="s">
        <v>98</v>
      </c>
      <c r="K398" t="s">
        <v>99</v>
      </c>
      <c r="L398" t="s">
        <v>135</v>
      </c>
      <c r="M398" t="s">
        <v>101</v>
      </c>
    </row>
    <row r="399" spans="1:13" x14ac:dyDescent="0.2">
      <c r="A399" t="s">
        <v>139</v>
      </c>
      <c r="B399">
        <v>243</v>
      </c>
      <c r="C399">
        <v>2334</v>
      </c>
      <c r="D399" t="str">
        <f>VLOOKUP(B399,[1]ManipulationPage!$A$3:$D$541,4,FALSE)</f>
        <v>wok</v>
      </c>
      <c r="E399" t="s">
        <v>1386</v>
      </c>
      <c r="F399" t="s">
        <v>1552</v>
      </c>
      <c r="G399" t="str">
        <f>VLOOKUP($F399,RecipeNotes!$A$2:$E$62,3,FALSE)</f>
        <v>Shortcut recipe: Grate or use your food processor to make it into 'rice'. Add your spices and condiments. Taste and balance with salt, sugar, sour, and umami.</v>
      </c>
      <c r="H399" t="str">
        <f>VLOOKUP($F399,RecipeNotes!$A$2:$E$62,5,FALSE)</f>
        <v>Shortcut opskrift: Riv eller brug food processeren til at lave 'ris' af din grøntsag. Tilføj dine andre ingredienser. Smag til med salt, sukker, syre og umami.</v>
      </c>
      <c r="I399" t="s">
        <v>140</v>
      </c>
      <c r="J399" t="s">
        <v>141</v>
      </c>
      <c r="K399" t="s">
        <v>142</v>
      </c>
    </row>
    <row r="400" spans="1:13" x14ac:dyDescent="0.2">
      <c r="A400" t="s">
        <v>196</v>
      </c>
      <c r="B400">
        <v>242</v>
      </c>
      <c r="C400">
        <v>2330</v>
      </c>
      <c r="D400" t="str">
        <f>VLOOKUP(B400,[1]ManipulationPage!$A$3:$D$541,4,FALSE)</f>
        <v>wok</v>
      </c>
      <c r="E400" t="s">
        <v>1386</v>
      </c>
      <c r="F400" t="s">
        <v>1552</v>
      </c>
      <c r="G400" t="str">
        <f>VLOOKUP($F400,RecipeNotes!$A$2:$E$62,3,FALSE)</f>
        <v>Shortcut recipe: Grate or use your food processor to make it into 'rice'. Add your spices and condiments. Taste and balance with salt, sugar, sour, and umami.</v>
      </c>
      <c r="H400" t="str">
        <f>VLOOKUP($F400,RecipeNotes!$A$2:$E$62,5,FALSE)</f>
        <v>Shortcut opskrift: Riv eller brug food processeren til at lave 'ris' af din grøntsag. Tilføj dine andre ingredienser. Smag til med salt, sukker, syre og umami.</v>
      </c>
      <c r="I400" t="s">
        <v>140</v>
      </c>
      <c r="J400" t="s">
        <v>141</v>
      </c>
      <c r="K400" t="s">
        <v>142</v>
      </c>
    </row>
    <row r="401" spans="1:13" x14ac:dyDescent="0.2">
      <c r="A401" t="s">
        <v>383</v>
      </c>
      <c r="B401">
        <v>209</v>
      </c>
      <c r="C401">
        <v>2136</v>
      </c>
      <c r="D401" t="str">
        <f>VLOOKUP(B401,[1]ManipulationPage!$A$3:$D$541,4,FALSE)</f>
        <v>wok</v>
      </c>
      <c r="E401" t="s">
        <v>1386</v>
      </c>
      <c r="F401" t="s">
        <v>1553</v>
      </c>
      <c r="G401" t="str">
        <f>VLOOKUP($F401,RecipeNotes!$A$2:$E$62,3,FALSE)</f>
        <v>Shortcut recipe: Fry onions and spices on a pan. Shortcut recipe: Make your suco of fried onions, spices, and your choice of paste. Add to pizza with your choice of veggies. Add an umami sauce, sugar, and cold rice that was cooked the day before, and fry for a few more minutes.</v>
      </c>
      <c r="H401" t="str">
        <f>VLOOKUP($F401,RecipeNotes!$A$2:$E$62,5,FALSE)</f>
        <v>Shortcut opskrift: Steg løg og krydderier på panden. Shortcut opskrift: Smør din pizza sauce i tyndt lag (lavet af løg, krydderier og din sauce stegt på en pande). Tilføj dine grøntsager på toppen. Tilføj en umami sauce, sukker, og kold ris fra dagen før. Steg i et par minutter</v>
      </c>
      <c r="I401" t="s">
        <v>97</v>
      </c>
      <c r="J401" t="s">
        <v>98</v>
      </c>
      <c r="K401" t="s">
        <v>99</v>
      </c>
    </row>
    <row r="402" spans="1:13" x14ac:dyDescent="0.2">
      <c r="A402" t="s">
        <v>430</v>
      </c>
      <c r="B402">
        <v>964</v>
      </c>
      <c r="C402">
        <v>5010</v>
      </c>
      <c r="D402" t="str">
        <f>VLOOKUP(B402,[1]ManipulationPage!$A$3:$D$541,4,FALSE)</f>
        <v>wok</v>
      </c>
      <c r="E402" t="s">
        <v>1386</v>
      </c>
      <c r="F402" t="s">
        <v>772</v>
      </c>
      <c r="G402" t="str">
        <f>VLOOKUP($F402,RecipeNotes!$A$2:$E$62,3,FALSE)</f>
        <v>Shortcut recipe: Fry onions and spices on a pan. Add veggies. Taste and balance with salt, sugar, sour, and umami.</v>
      </c>
      <c r="H402" t="str">
        <f>VLOOKUP($F402,RecipeNotes!$A$2:$E$62,5,FALSE)</f>
        <v>Shortcut opskrift: Steg løg og krydderier på panden. Tilføj grøntsager Smag til med salt, sukker, syre og umami.</v>
      </c>
      <c r="I402" t="s">
        <v>97</v>
      </c>
      <c r="J402" t="s">
        <v>98</v>
      </c>
      <c r="K402" t="s">
        <v>99</v>
      </c>
      <c r="L402" t="s">
        <v>100</v>
      </c>
      <c r="M402" t="s">
        <v>101</v>
      </c>
    </row>
    <row r="403" spans="1:13" x14ac:dyDescent="0.2">
      <c r="A403" t="s">
        <v>550</v>
      </c>
      <c r="B403">
        <v>342</v>
      </c>
      <c r="C403">
        <v>2808</v>
      </c>
      <c r="D403" t="str">
        <f>VLOOKUP(B403,[1]ManipulationPage!$A$3:$D$541,4,FALSE)</f>
        <v>wok</v>
      </c>
      <c r="E403" t="s">
        <v>1386</v>
      </c>
      <c r="F403" t="s">
        <v>772</v>
      </c>
      <c r="G403" t="str">
        <f>VLOOKUP($F403,RecipeNotes!$A$2:$E$62,3,FALSE)</f>
        <v>Shortcut recipe: Fry onions and spices on a pan. Add veggies. Taste and balance with salt, sugar, sour, and umami.</v>
      </c>
      <c r="H403" t="str">
        <f>VLOOKUP($F403,RecipeNotes!$A$2:$E$62,5,FALSE)</f>
        <v>Shortcut opskrift: Steg løg og krydderier på panden. Tilføj grøntsager Smag til med salt, sukker, syre og umami.</v>
      </c>
      <c r="I403" t="s">
        <v>551</v>
      </c>
      <c r="J403" t="s">
        <v>552</v>
      </c>
      <c r="K403" t="s">
        <v>553</v>
      </c>
    </row>
    <row r="404" spans="1:13" x14ac:dyDescent="0.2">
      <c r="A404" t="s">
        <v>558</v>
      </c>
      <c r="B404">
        <v>968</v>
      </c>
      <c r="C404">
        <v>5066</v>
      </c>
      <c r="D404" t="str">
        <f>VLOOKUP(B404,[1]ManipulationPage!$A$3:$D$541,4,FALSE)</f>
        <v>wok</v>
      </c>
      <c r="E404" t="s">
        <v>1386</v>
      </c>
      <c r="F404" t="s">
        <v>772</v>
      </c>
      <c r="G404" t="str">
        <f>VLOOKUP($F404,RecipeNotes!$A$2:$E$62,3,FALSE)</f>
        <v>Shortcut recipe: Fry onions and spices on a pan. Add veggies. Taste and balance with salt, sugar, sour, and umami.</v>
      </c>
      <c r="H404" t="str">
        <f>VLOOKUP($F404,RecipeNotes!$A$2:$E$62,5,FALSE)</f>
        <v>Shortcut opskrift: Steg løg og krydderier på panden. Tilføj grøntsager Smag til med salt, sukker, syre og umami.</v>
      </c>
      <c r="I404" t="s">
        <v>97</v>
      </c>
      <c r="J404" t="s">
        <v>98</v>
      </c>
      <c r="K404" t="s">
        <v>99</v>
      </c>
      <c r="L404" t="s">
        <v>100</v>
      </c>
      <c r="M404" t="s">
        <v>101</v>
      </c>
    </row>
    <row r="405" spans="1:13" x14ac:dyDescent="0.2">
      <c r="A405" t="s">
        <v>599</v>
      </c>
      <c r="B405">
        <v>75</v>
      </c>
      <c r="C405">
        <v>1379</v>
      </c>
      <c r="D405" t="str">
        <f>VLOOKUP(B405,[1]ManipulationPage!$A$3:$D$541,4,FALSE)</f>
        <v>wok</v>
      </c>
      <c r="E405" t="s">
        <v>1386</v>
      </c>
      <c r="F405" t="s">
        <v>772</v>
      </c>
      <c r="G405" t="str">
        <f>VLOOKUP($F405,RecipeNotes!$A$2:$E$62,3,FALSE)</f>
        <v>Shortcut recipe: Fry onions and spices on a pan. Add veggies. Taste and balance with salt, sugar, sour, and umami.</v>
      </c>
      <c r="H405" t="str">
        <f>VLOOKUP($F405,RecipeNotes!$A$2:$E$62,5,FALSE)</f>
        <v>Shortcut opskrift: Steg løg og krydderier på panden. Tilføj grøntsager Smag til med salt, sukker, syre og umami.</v>
      </c>
      <c r="I405" t="s">
        <v>600</v>
      </c>
    </row>
    <row r="406" spans="1:13" x14ac:dyDescent="0.2">
      <c r="A406" t="s">
        <v>678</v>
      </c>
      <c r="B406">
        <v>282</v>
      </c>
      <c r="C406">
        <v>2562</v>
      </c>
      <c r="D406" t="str">
        <f>VLOOKUP(B406,[1]ManipulationPage!$A$3:$D$541,4,FALSE)</f>
        <v>wok</v>
      </c>
      <c r="E406" t="s">
        <v>1386</v>
      </c>
      <c r="F406" t="s">
        <v>192</v>
      </c>
      <c r="G406" t="str">
        <f>VLOOKUP($F406,RecipeNotes!$A$2:$E$62,3,FALSE)</f>
        <v>Shortcut recipe: Put a layer of cooked grains on-top of your sauce. Bake in the oven for 30+ minutes (180 degrees)</v>
      </c>
      <c r="H406" t="str">
        <f>VLOOKUP($F406,RecipeNotes!$A$2:$E$62,5,FALSE)</f>
        <v>Shortcut opskrift: Put et lag af dine kogte korn på toppen. Bag i ovnen i +30 minutter ved 180 grader.</v>
      </c>
      <c r="I406" t="s">
        <v>47</v>
      </c>
      <c r="J406" t="s">
        <v>48</v>
      </c>
      <c r="K406" t="s">
        <v>49</v>
      </c>
    </row>
    <row r="407" spans="1:13" x14ac:dyDescent="0.2">
      <c r="A407" t="s">
        <v>765</v>
      </c>
      <c r="B407">
        <v>58</v>
      </c>
      <c r="C407">
        <v>1273</v>
      </c>
      <c r="D407" t="str">
        <f>VLOOKUP(B407,[1]ManipulationPage!$A$3:$D$541,4,FALSE)</f>
        <v>wok</v>
      </c>
      <c r="E407" t="s">
        <v>1386</v>
      </c>
      <c r="F407" t="s">
        <v>1539</v>
      </c>
      <c r="G407" t="str">
        <f>VLOOKUP($F407,RecipeNotes!$A$2:$E$62,3,FALSE)</f>
        <v>Shortcut recipe: Fry onions and spices on a pan. Add veggies. Mix with cooked grains/noodles.</v>
      </c>
      <c r="H407" t="str">
        <f>VLOOKUP($F407,RecipeNotes!$A$2:$E$62,5,FALSE)</f>
        <v>Shortcut opskrift: Steg løg og krydderier på panden. Tilføj grøntsager Bland med kogte nudler/bælgfrugter/korn.</v>
      </c>
      <c r="I407" t="s">
        <v>766</v>
      </c>
      <c r="J407" t="s">
        <v>767</v>
      </c>
      <c r="K407" t="s">
        <v>768</v>
      </c>
    </row>
    <row r="408" spans="1:13" x14ac:dyDescent="0.2">
      <c r="A408" t="s">
        <v>771</v>
      </c>
      <c r="B408">
        <v>208</v>
      </c>
      <c r="C408">
        <v>2130</v>
      </c>
      <c r="D408" t="str">
        <f>VLOOKUP(B408,[1]ManipulationPage!$A$3:$D$541,4,FALSE)</f>
        <v>wok</v>
      </c>
      <c r="E408" t="s">
        <v>1386</v>
      </c>
      <c r="F408" t="s">
        <v>772</v>
      </c>
      <c r="G408" t="str">
        <f>VLOOKUP($F408,RecipeNotes!$A$2:$E$62,3,FALSE)</f>
        <v>Shortcut recipe: Fry onions and spices on a pan. Add veggies. Taste and balance with salt, sugar, sour, and umami.</v>
      </c>
      <c r="H408" t="str">
        <f>VLOOKUP($F408,RecipeNotes!$A$2:$E$62,5,FALSE)</f>
        <v>Shortcut opskrift: Steg løg og krydderier på panden. Tilføj grøntsager Smag til med salt, sukker, syre og umami.</v>
      </c>
      <c r="I408" t="s">
        <v>97</v>
      </c>
      <c r="J408" t="s">
        <v>98</v>
      </c>
      <c r="K408" t="s">
        <v>99</v>
      </c>
    </row>
    <row r="409" spans="1:13" x14ac:dyDescent="0.2">
      <c r="A409" t="s">
        <v>772</v>
      </c>
      <c r="B409">
        <v>71</v>
      </c>
      <c r="C409">
        <v>1353</v>
      </c>
      <c r="D409" t="str">
        <f>VLOOKUP(B409,[1]ManipulationPage!$A$3:$D$541,4,FALSE)</f>
        <v>wok</v>
      </c>
      <c r="E409" t="s">
        <v>1386</v>
      </c>
      <c r="F409" t="s">
        <v>772</v>
      </c>
      <c r="G409" t="str">
        <f>VLOOKUP($F409,RecipeNotes!$A$2:$E$62,3,FALSE)</f>
        <v>Shortcut recipe: Fry onions and spices on a pan. Add veggies. Taste and balance with salt, sugar, sour, and umami.</v>
      </c>
      <c r="H409" t="str">
        <f>VLOOKUP($F409,RecipeNotes!$A$2:$E$62,5,FALSE)</f>
        <v>Shortcut opskrift: Steg løg og krydderier på panden. Tilføj grøntsager Smag til med salt, sukker, syre og umami.</v>
      </c>
      <c r="I409" t="s">
        <v>97</v>
      </c>
      <c r="J409" t="s">
        <v>98</v>
      </c>
      <c r="K409" t="s">
        <v>99</v>
      </c>
      <c r="L409" t="s">
        <v>773</v>
      </c>
      <c r="M409" t="s">
        <v>101</v>
      </c>
    </row>
    <row r="410" spans="1:13" x14ac:dyDescent="0.2">
      <c r="A410" t="s">
        <v>802</v>
      </c>
      <c r="B410">
        <v>256</v>
      </c>
      <c r="C410">
        <v>2408</v>
      </c>
      <c r="D410" t="str">
        <f>VLOOKUP(B410,[1]ManipulationPage!$A$3:$D$541,4,FALSE)</f>
        <v>wok</v>
      </c>
      <c r="E410" t="s">
        <v>1386</v>
      </c>
      <c r="F410" t="s">
        <v>772</v>
      </c>
      <c r="G410" t="str">
        <f>VLOOKUP($F410,RecipeNotes!$A$2:$E$62,3,FALSE)</f>
        <v>Shortcut recipe: Fry onions and spices on a pan. Add veggies. Taste and balance with salt, sugar, sour, and umami.</v>
      </c>
      <c r="H410" t="str">
        <f>VLOOKUP($F410,RecipeNotes!$A$2:$E$62,5,FALSE)</f>
        <v>Shortcut opskrift: Steg løg og krydderier på panden. Tilføj grøntsager Smag til med salt, sukker, syre og umami.</v>
      </c>
      <c r="I410" t="s">
        <v>803</v>
      </c>
      <c r="J410" t="s">
        <v>804</v>
      </c>
      <c r="K410" t="s">
        <v>805</v>
      </c>
    </row>
    <row r="411" spans="1:13" x14ac:dyDescent="0.2">
      <c r="A411" t="s">
        <v>12</v>
      </c>
      <c r="B411">
        <v>174</v>
      </c>
      <c r="C411">
        <v>1924</v>
      </c>
      <c r="D411" t="str">
        <f>VLOOKUP(B411,[1]ManipulationPage!$A$3:$D$541,4,FALSE)</f>
        <v>zzz</v>
      </c>
      <c r="F411" t="s">
        <v>618</v>
      </c>
      <c r="G411" t="str">
        <f>VLOOKUP($F411,RecipeNotes!$A$2:$E$62,3,FALSE)</f>
        <v>Shortcut recipe: Make your suco of fried onions, spices, and your choice of paste. Add to pizza with your choice of veggies.</v>
      </c>
      <c r="H411" t="str">
        <f>VLOOKUP($F411,RecipeNotes!$A$2:$E$62,5,FALSE)</f>
        <v>Shortcut opskrift: Smør din pizza sauce i tyndt lag (lavet af løg, krydderier og din sauce stegt på en pande). Tilføj dine grøntsager på toppen.</v>
      </c>
      <c r="I411" t="s">
        <v>13</v>
      </c>
      <c r="J411" t="s">
        <v>14</v>
      </c>
      <c r="K411" t="s">
        <v>15</v>
      </c>
    </row>
    <row r="412" spans="1:13" x14ac:dyDescent="0.2">
      <c r="A412" t="s">
        <v>26</v>
      </c>
      <c r="B412">
        <v>954</v>
      </c>
      <c r="C412">
        <v>4824</v>
      </c>
      <c r="D412" t="str">
        <f>VLOOKUP(B412,[1]ManipulationPage!$A$3:$D$541,4,FALSE)</f>
        <v>zzz</v>
      </c>
      <c r="F412" t="s">
        <v>604</v>
      </c>
      <c r="G412" t="str">
        <f>VLOOKUP($F412,RecipeNotes!$A$2:$E$62,3,FALSE)</f>
        <v>Shortcut recipe: Fry onions and spices on a pan. Mix with cooked pasta, including a cup of the pasta water (for creamy consistency).</v>
      </c>
      <c r="H412" t="str">
        <f>VLOOKUP($F412,RecipeNotes!$A$2:$E$62,5,FALSE)</f>
        <v>Shortcut opskrift: Steg løg og krydderier på panden. Ibland den kogte pasta med en kop pasta vand.</v>
      </c>
      <c r="I412" t="s">
        <v>27</v>
      </c>
      <c r="J412" t="s">
        <v>28</v>
      </c>
      <c r="K412" t="s">
        <v>29</v>
      </c>
      <c r="L412" t="s">
        <v>30</v>
      </c>
      <c r="M412" t="s">
        <v>31</v>
      </c>
    </row>
    <row r="413" spans="1:13" x14ac:dyDescent="0.2">
      <c r="A413" t="s">
        <v>33</v>
      </c>
      <c r="B413">
        <v>171</v>
      </c>
      <c r="C413">
        <v>1906</v>
      </c>
      <c r="D413" t="str">
        <f>VLOOKUP(B413,[1]ManipulationPage!$A$3:$D$541,4,FALSE)</f>
        <v>zzz</v>
      </c>
      <c r="F413" t="s">
        <v>740</v>
      </c>
      <c r="G413" t="str">
        <f>VLOOKUP($F413,RecipeNotes!$A$2:$E$62,3,FALSE)</f>
        <v>Shortcut recipe: Mix and blend all ingredients. Store it in the fridge up to 3 days. Serve the smoothie cold.</v>
      </c>
      <c r="H413" t="str">
        <f>VLOOKUP($F413,RecipeNotes!$A$2:$E$62,5,FALSE)</f>
        <v>Shortcut opskrift: Bland og blend alle ingredienser. Opbevar i køleren op til 3 dage.</v>
      </c>
      <c r="I413" t="s">
        <v>34</v>
      </c>
      <c r="J413" t="s">
        <v>35</v>
      </c>
      <c r="K413" t="s">
        <v>36</v>
      </c>
    </row>
    <row r="414" spans="1:13" x14ac:dyDescent="0.2">
      <c r="A414" t="s">
        <v>37</v>
      </c>
      <c r="B414">
        <v>451</v>
      </c>
      <c r="C414">
        <v>3071</v>
      </c>
      <c r="D414" t="str">
        <f>VLOOKUP(B414,[1]ManipulationPage!$A$3:$D$541,4,FALSE)</f>
        <v>zzz</v>
      </c>
      <c r="F414" t="s">
        <v>173</v>
      </c>
      <c r="G414" t="str">
        <f>VLOOKUP($F414,RecipeNotes!$A$2:$E$62,3,FALSE)</f>
        <v>Shortcut recipe: Fold the dry ingredients gently into the wet ingredients. Bake at 180°C until a toothpick inserted in the middle comes out clean (about 40 minutes).</v>
      </c>
      <c r="H414" t="str">
        <f>VLOOKUP($F414,RecipeNotes!$A$2:$E$62,5,FALSE)</f>
        <v>Shortcut opskrift: Fold de tørre ingredienser ind i de våde. Bag i ovnen indtil en tandstik kan komme ud af dem uden dej sidder fast (ca 40 minutter).</v>
      </c>
      <c r="I414" t="s">
        <v>38</v>
      </c>
      <c r="J414" t="s">
        <v>39</v>
      </c>
      <c r="K414" t="s">
        <v>38</v>
      </c>
    </row>
    <row r="415" spans="1:13" x14ac:dyDescent="0.2">
      <c r="A415" t="s">
        <v>50</v>
      </c>
      <c r="B415">
        <v>589</v>
      </c>
      <c r="D415" t="str">
        <f>VLOOKUP(B415,[1]ManipulationPage!$A$3:$D$541,4,FALSE)</f>
        <v>zzz</v>
      </c>
      <c r="F415" t="s">
        <v>772</v>
      </c>
      <c r="G415" t="str">
        <f>VLOOKUP($F415,RecipeNotes!$A$2:$E$62,3,FALSE)</f>
        <v>Shortcut recipe: Fry onions and spices on a pan. Add veggies. Taste and balance with salt, sugar, sour, and umami.</v>
      </c>
      <c r="H415" t="str">
        <f>VLOOKUP($F415,RecipeNotes!$A$2:$E$62,5,FALSE)</f>
        <v>Shortcut opskrift: Steg løg og krydderier på panden. Tilføj grøntsager Smag til med salt, sukker, syre og umami.</v>
      </c>
    </row>
    <row r="416" spans="1:13" x14ac:dyDescent="0.2">
      <c r="A416" t="s">
        <v>51</v>
      </c>
      <c r="B416">
        <v>599</v>
      </c>
      <c r="D416" t="str">
        <f>VLOOKUP(B416,[1]ManipulationPage!$A$3:$D$541,4,FALSE)</f>
        <v>zzz</v>
      </c>
      <c r="F416" t="s">
        <v>1643</v>
      </c>
      <c r="G416" t="str">
        <f>VLOOKUP($F416,RecipeNotes!$A$2:$E$62,3,FALSE)</f>
        <v>Shortcut recipe: Gently mix the wet ingredients into the dry. Bake in oven until a toothpick comes out clean when pricking them (about 30 minutes)</v>
      </c>
      <c r="H416" t="str">
        <f>VLOOKUP($F416,RecipeNotes!$A$2:$E$62,5,FALSE)</f>
        <v>Shortcut opskrift: Ælt de våde ingredienser indi i de tørre nænsomt. Bag i ovnen indtil en tandstik kan komme ud af dem uden dej sidder fast.</v>
      </c>
    </row>
    <row r="417" spans="1:13" x14ac:dyDescent="0.2">
      <c r="A417" t="s">
        <v>56</v>
      </c>
      <c r="B417">
        <v>216</v>
      </c>
      <c r="C417">
        <v>2180</v>
      </c>
      <c r="D417" t="str">
        <f>VLOOKUP(B417,[1]ManipulationPage!$A$3:$D$541,4,FALSE)</f>
        <v>zzz</v>
      </c>
      <c r="F417" t="s">
        <v>740</v>
      </c>
      <c r="G417" t="str">
        <f>VLOOKUP($F417,RecipeNotes!$A$2:$E$62,3,FALSE)</f>
        <v>Shortcut recipe: Mix and blend all ingredients. Store it in the fridge up to 3 days. Serve the smoothie cold.</v>
      </c>
      <c r="H417" t="str">
        <f>VLOOKUP($F417,RecipeNotes!$A$2:$E$62,5,FALSE)</f>
        <v>Shortcut opskrift: Bland og blend alle ingredienser. Opbevar i køleren op til 3 dage.</v>
      </c>
      <c r="I417" t="s">
        <v>34</v>
      </c>
      <c r="J417" t="s">
        <v>35</v>
      </c>
      <c r="K417" t="s">
        <v>36</v>
      </c>
    </row>
    <row r="418" spans="1:13" x14ac:dyDescent="0.2">
      <c r="A418" t="s">
        <v>64</v>
      </c>
      <c r="B418">
        <v>1064</v>
      </c>
      <c r="C418">
        <v>7995</v>
      </c>
      <c r="D418" t="str">
        <f>VLOOKUP(B418,[1]ManipulationPage!$A$3:$D$541,4,FALSE)</f>
        <v>zzz</v>
      </c>
      <c r="G418" t="e">
        <f>VLOOKUP($F418,RecipeNotes!$A$2:$E$62,3,FALSE)</f>
        <v>#N/A</v>
      </c>
      <c r="H418" t="e">
        <f>VLOOKUP($F418,RecipeNotes!$A$2:$E$62,5,FALSE)</f>
        <v>#N/A</v>
      </c>
    </row>
    <row r="419" spans="1:13" x14ac:dyDescent="0.2">
      <c r="A419" t="s">
        <v>65</v>
      </c>
      <c r="B419">
        <v>98</v>
      </c>
      <c r="C419">
        <v>1459</v>
      </c>
      <c r="D419" t="str">
        <f>VLOOKUP(B419,[1]ManipulationPage!$A$3:$D$541,4,FALSE)</f>
        <v>zzz</v>
      </c>
      <c r="F419" t="s">
        <v>1634</v>
      </c>
      <c r="G419" t="str">
        <f>VLOOKUP($F419,RecipeNotes!$A$2:$E$62,3,FALSE)</f>
        <v>Shortcut recipe: Mix ingredients and stir around with a fork.</v>
      </c>
      <c r="H419" t="str">
        <f>VLOOKUP($F419,RecipeNotes!$A$2:$E$62,5,FALSE)</f>
        <v>Shortcut opskrift: Bland ingredienser og rør rundt med en gaffel.</v>
      </c>
      <c r="I419" t="s">
        <v>66</v>
      </c>
      <c r="J419" t="s">
        <v>67</v>
      </c>
      <c r="K419" t="s">
        <v>68</v>
      </c>
    </row>
    <row r="420" spans="1:13" x14ac:dyDescent="0.2">
      <c r="A420" t="s">
        <v>65</v>
      </c>
      <c r="B420">
        <v>1095</v>
      </c>
      <c r="C420">
        <v>9319</v>
      </c>
      <c r="D420" t="str">
        <f>VLOOKUP(B420,[1]ManipulationPage!$A$3:$D$541,4,FALSE)</f>
        <v>zzz</v>
      </c>
      <c r="F420" t="s">
        <v>1634</v>
      </c>
      <c r="G420" t="str">
        <f>VLOOKUP($F420,RecipeNotes!$A$2:$E$62,3,FALSE)</f>
        <v>Shortcut recipe: Mix ingredients and stir around with a fork.</v>
      </c>
      <c r="H420" t="str">
        <f>VLOOKUP($F420,RecipeNotes!$A$2:$E$62,5,FALSE)</f>
        <v>Shortcut opskrift: Bland ingredienser og rør rundt med en gaffel.</v>
      </c>
      <c r="I420" t="s">
        <v>66</v>
      </c>
      <c r="J420" t="s">
        <v>67</v>
      </c>
      <c r="K420" t="s">
        <v>68</v>
      </c>
    </row>
    <row r="421" spans="1:13" x14ac:dyDescent="0.2">
      <c r="A421" t="s">
        <v>78</v>
      </c>
      <c r="B421">
        <v>192</v>
      </c>
      <c r="C421">
        <v>2026</v>
      </c>
      <c r="D421" t="str">
        <f>VLOOKUP(B421,[1]ManipulationPage!$A$3:$D$541,4,FALSE)</f>
        <v>zzz</v>
      </c>
      <c r="F421" t="s">
        <v>354</v>
      </c>
      <c r="G421" t="str">
        <f>VLOOKUP($F421,RecipeNotes!$A$2:$E$62,3,FALSE)</f>
        <v>Shortcut recipe: Cook then mash with a blender or fork. Taste and balance with salt, sugar, sour, and umami.</v>
      </c>
      <c r="H421" t="str">
        <f>VLOOKUP($F421,RecipeNotes!$A$2:$E$62,5,FALSE)</f>
        <v>Shortcut opskrift: Kog og blend derefter med en gaffel eller blender. Smag til med salt, sukker, syre og umami.</v>
      </c>
      <c r="I421" t="s">
        <v>79</v>
      </c>
      <c r="J421" t="s">
        <v>80</v>
      </c>
      <c r="K421" t="s">
        <v>81</v>
      </c>
    </row>
    <row r="422" spans="1:13" x14ac:dyDescent="0.2">
      <c r="A422" t="s">
        <v>118</v>
      </c>
      <c r="B422">
        <v>217</v>
      </c>
      <c r="C422">
        <v>2186</v>
      </c>
      <c r="D422" t="str">
        <f>VLOOKUP(B422,[1]ManipulationPage!$A$3:$D$541,4,FALSE)</f>
        <v>zzz</v>
      </c>
      <c r="F422" t="s">
        <v>740</v>
      </c>
      <c r="G422" t="str">
        <f>VLOOKUP($F422,RecipeNotes!$A$2:$E$62,3,FALSE)</f>
        <v>Shortcut recipe: Mix and blend all ingredients. Store it in the fridge up to 3 days. Serve the smoothie cold.</v>
      </c>
      <c r="H422" t="str">
        <f>VLOOKUP($F422,RecipeNotes!$A$2:$E$62,5,FALSE)</f>
        <v>Shortcut opskrift: Bland og blend alle ingredienser. Opbevar i køleren op til 3 dage.</v>
      </c>
      <c r="I422" t="s">
        <v>34</v>
      </c>
      <c r="J422" t="s">
        <v>35</v>
      </c>
      <c r="K422" t="s">
        <v>36</v>
      </c>
    </row>
    <row r="423" spans="1:13" x14ac:dyDescent="0.2">
      <c r="A423" t="s">
        <v>132</v>
      </c>
      <c r="B423">
        <v>519</v>
      </c>
      <c r="C423">
        <v>3196</v>
      </c>
      <c r="D423" t="str">
        <f>VLOOKUP(B423,[1]ManipulationPage!$A$3:$D$541,4,FALSE)</f>
        <v>zzz</v>
      </c>
      <c r="G423" t="e">
        <f>VLOOKUP($F423,RecipeNotes!$A$2:$E$62,3,FALSE)</f>
        <v>#N/A</v>
      </c>
      <c r="H423" t="e">
        <f>VLOOKUP($F423,RecipeNotes!$A$2:$E$62,5,FALSE)</f>
        <v>#N/A</v>
      </c>
      <c r="I423" t="s">
        <v>133</v>
      </c>
      <c r="J423" t="s">
        <v>133</v>
      </c>
      <c r="K423" t="s">
        <v>133</v>
      </c>
    </row>
    <row r="424" spans="1:13" x14ac:dyDescent="0.2">
      <c r="A424" t="s">
        <v>136</v>
      </c>
      <c r="B424">
        <v>955</v>
      </c>
      <c r="C424">
        <v>4835</v>
      </c>
      <c r="D424" t="str">
        <f>VLOOKUP(B424,[1]ManipulationPage!$A$3:$D$541,4,FALSE)</f>
        <v>zzz</v>
      </c>
      <c r="F424" t="s">
        <v>604</v>
      </c>
      <c r="G424" t="str">
        <f>VLOOKUP($F424,RecipeNotes!$A$2:$E$62,3,FALSE)</f>
        <v>Shortcut recipe: Fry onions and spices on a pan. Mix with cooked pasta, including a cup of the pasta water (for creamy consistency).</v>
      </c>
      <c r="H424" t="str">
        <f>VLOOKUP($F424,RecipeNotes!$A$2:$E$62,5,FALSE)</f>
        <v>Shortcut opskrift: Steg løg og krydderier på panden. Ibland den kogte pasta med en kop pasta vand.</v>
      </c>
      <c r="I424" t="s">
        <v>27</v>
      </c>
      <c r="J424" t="s">
        <v>28</v>
      </c>
      <c r="K424" t="s">
        <v>29</v>
      </c>
      <c r="L424" t="s">
        <v>137</v>
      </c>
      <c r="M424" t="s">
        <v>31</v>
      </c>
    </row>
    <row r="425" spans="1:13" x14ac:dyDescent="0.2">
      <c r="A425" t="s">
        <v>138</v>
      </c>
      <c r="B425">
        <v>223</v>
      </c>
      <c r="C425">
        <v>2222</v>
      </c>
      <c r="D425" t="str">
        <f>VLOOKUP(B425,[1]ManipulationPage!$A$3:$D$541,4,FALSE)</f>
        <v>zzz</v>
      </c>
      <c r="F425" t="s">
        <v>1548</v>
      </c>
      <c r="G425" t="str">
        <f>VLOOKUP($F425,RecipeNotes!$A$2:$E$62,3,FALSE)</f>
        <v>Shortcut recipe: Mash ingredients with a fork or a blender. Shape patties in your hands and fry them on a pan with oil (5 minutes on each side).</v>
      </c>
      <c r="H425" t="str">
        <f>VLOOKUP($F425,RecipeNotes!$A$2:$E$62,5,FALSE)</f>
        <v>Shortcut opskrift: Blend ingredienser med en gaffel eller blender. Form bøfferne i dine hænder og steg dem (5-10 minutter per side).</v>
      </c>
      <c r="I425" t="s">
        <v>91</v>
      </c>
      <c r="J425" t="s">
        <v>92</v>
      </c>
      <c r="K425" t="s">
        <v>93</v>
      </c>
    </row>
    <row r="426" spans="1:13" x14ac:dyDescent="0.2">
      <c r="A426" t="s">
        <v>144</v>
      </c>
      <c r="B426">
        <v>568</v>
      </c>
      <c r="C426">
        <v>3245</v>
      </c>
      <c r="D426" t="str">
        <f>VLOOKUP(B426,[1]ManipulationPage!$A$3:$D$541,4,FALSE)</f>
        <v>zzz</v>
      </c>
      <c r="G426" t="e">
        <f>VLOOKUP($F426,RecipeNotes!$A$2:$E$62,3,FALSE)</f>
        <v>#N/A</v>
      </c>
      <c r="H426" t="e">
        <f>VLOOKUP($F426,RecipeNotes!$A$2:$E$62,5,FALSE)</f>
        <v>#N/A</v>
      </c>
      <c r="I426" t="s">
        <v>145</v>
      </c>
    </row>
    <row r="427" spans="1:13" x14ac:dyDescent="0.2">
      <c r="A427" t="s">
        <v>153</v>
      </c>
      <c r="B427">
        <v>779</v>
      </c>
      <c r="C427">
        <v>3730</v>
      </c>
      <c r="D427" t="str">
        <f>VLOOKUP(B427,[1]ManipulationPage!$A$3:$D$541,4,FALSE)</f>
        <v>zzz</v>
      </c>
      <c r="G427" t="e">
        <f>VLOOKUP($F427,RecipeNotes!$A$2:$E$62,3,FALSE)</f>
        <v>#N/A</v>
      </c>
      <c r="H427" t="e">
        <f>VLOOKUP($F427,RecipeNotes!$A$2:$E$62,5,FALSE)</f>
        <v>#N/A</v>
      </c>
    </row>
    <row r="428" spans="1:13" x14ac:dyDescent="0.2">
      <c r="A428" t="s">
        <v>154</v>
      </c>
      <c r="B428">
        <v>1015</v>
      </c>
      <c r="C428">
        <v>5924</v>
      </c>
      <c r="D428" t="str">
        <f>VLOOKUP(B428,[1]ManipulationPage!$A$3:$D$541,4,FALSE)</f>
        <v>zzz</v>
      </c>
      <c r="G428" t="e">
        <f>VLOOKUP($F428,RecipeNotes!$A$2:$E$62,3,FALSE)</f>
        <v>#N/A</v>
      </c>
      <c r="H428" t="e">
        <f>VLOOKUP($F428,RecipeNotes!$A$2:$E$62,5,FALSE)</f>
        <v>#N/A</v>
      </c>
    </row>
    <row r="429" spans="1:13" x14ac:dyDescent="0.2">
      <c r="A429" t="s">
        <v>160</v>
      </c>
      <c r="B429">
        <v>369</v>
      </c>
      <c r="C429">
        <v>2878</v>
      </c>
      <c r="D429" t="str">
        <f>VLOOKUP(B429,[1]ManipulationPage!$A$3:$D$541,4,FALSE)</f>
        <v>zzz</v>
      </c>
      <c r="F429" t="s">
        <v>1635</v>
      </c>
      <c r="G429" t="str">
        <f>VLOOKUP($F429,RecipeNotes!$A$2:$E$62,3,FALSE)</f>
        <v>Shortcut recipe: Gently mix the wet ingredients into the dry. Bake in oven until a toothpick comes out clean when pricking them (about 30 minutes)</v>
      </c>
      <c r="H429" t="str">
        <f>VLOOKUP($F429,RecipeNotes!$A$2:$E$62,5,FALSE)</f>
        <v>Shortcut opskrift: Ælt de våde ingredienser indi i de tørre nænsomt. Bag i ovnen indtil en tandstik kan komme ud af dem uden dej sidder fast.</v>
      </c>
      <c r="I429" t="s">
        <v>161</v>
      </c>
      <c r="J429" t="s">
        <v>161</v>
      </c>
      <c r="K429" t="s">
        <v>161</v>
      </c>
    </row>
    <row r="430" spans="1:13" x14ac:dyDescent="0.2">
      <c r="A430" t="s">
        <v>182</v>
      </c>
      <c r="B430">
        <v>1052</v>
      </c>
      <c r="C430">
        <v>7276</v>
      </c>
      <c r="D430" t="str">
        <f>VLOOKUP(B430,[1]ManipulationPage!$A$3:$D$541,4,FALSE)</f>
        <v>zzz</v>
      </c>
      <c r="G430" t="e">
        <f>VLOOKUP($F430,RecipeNotes!$A$2:$E$62,3,FALSE)</f>
        <v>#N/A</v>
      </c>
      <c r="H430" t="e">
        <f>VLOOKUP($F430,RecipeNotes!$A$2:$E$62,5,FALSE)</f>
        <v>#N/A</v>
      </c>
    </row>
    <row r="431" spans="1:13" x14ac:dyDescent="0.2">
      <c r="A431" t="s">
        <v>191</v>
      </c>
      <c r="B431">
        <v>198</v>
      </c>
      <c r="C431">
        <v>2064</v>
      </c>
      <c r="D431" t="str">
        <f>VLOOKUP(B431,[1]ManipulationPage!$A$3:$D$541,4,FALSE)</f>
        <v>zzz</v>
      </c>
      <c r="F431" t="s">
        <v>521</v>
      </c>
      <c r="G431" t="str">
        <f>VLOOKUP($F431,RecipeNotes!$A$2:$E$62,3,FALSE)</f>
        <v>Shortcut recipe: Mash your veggie with a blender or fork, mixing in some oil or butter for creaminess.</v>
      </c>
      <c r="H431" t="str">
        <f>VLOOKUP($F431,RecipeNotes!$A$2:$E$62,5,FALSE)</f>
        <v>Shortcut opskrift: Blend dine grøntsager med lidt smør/olie med en gaffel eller en blender.</v>
      </c>
      <c r="I431" t="s">
        <v>164</v>
      </c>
      <c r="J431" t="s">
        <v>165</v>
      </c>
      <c r="K431" t="s">
        <v>166</v>
      </c>
    </row>
    <row r="432" spans="1:13" x14ac:dyDescent="0.2">
      <c r="A432" t="s">
        <v>194</v>
      </c>
      <c r="B432">
        <v>200</v>
      </c>
      <c r="C432">
        <v>2080</v>
      </c>
      <c r="D432" t="str">
        <f>VLOOKUP(B432,[1]ManipulationPage!$A$3:$D$541,4,FALSE)</f>
        <v>zzz</v>
      </c>
      <c r="F432" t="s">
        <v>521</v>
      </c>
      <c r="G432" t="str">
        <f>VLOOKUP($F432,RecipeNotes!$A$2:$E$62,3,FALSE)</f>
        <v>Shortcut recipe: Mash your veggie with a blender or fork, mixing in some oil or butter for creaminess.</v>
      </c>
      <c r="H432" t="str">
        <f>VLOOKUP($F432,RecipeNotes!$A$2:$E$62,5,FALSE)</f>
        <v>Shortcut opskrift: Blend dine grøntsager med lidt smør/olie med en gaffel eller en blender.</v>
      </c>
      <c r="I432" t="s">
        <v>164</v>
      </c>
      <c r="J432" t="s">
        <v>165</v>
      </c>
      <c r="K432" t="s">
        <v>166</v>
      </c>
    </row>
    <row r="433" spans="1:13" x14ac:dyDescent="0.2">
      <c r="A433" t="s">
        <v>195</v>
      </c>
      <c r="B433">
        <v>956</v>
      </c>
      <c r="C433">
        <v>4849</v>
      </c>
      <c r="D433" t="str">
        <f>VLOOKUP(B433,[1]ManipulationPage!$A$3:$D$541,4,FALSE)</f>
        <v>zzz</v>
      </c>
      <c r="F433" t="s">
        <v>604</v>
      </c>
      <c r="G433" t="str">
        <f>VLOOKUP($F433,RecipeNotes!$A$2:$E$62,3,FALSE)</f>
        <v>Shortcut recipe: Fry onions and spices on a pan. Mix with cooked pasta, including a cup of the pasta water (for creamy consistency).</v>
      </c>
      <c r="H433" t="str">
        <f>VLOOKUP($F433,RecipeNotes!$A$2:$E$62,5,FALSE)</f>
        <v>Shortcut opskrift: Steg løg og krydderier på panden. Ibland den kogte pasta med en kop pasta vand.</v>
      </c>
      <c r="I433" t="s">
        <v>27</v>
      </c>
      <c r="J433" t="s">
        <v>28</v>
      </c>
      <c r="K433" t="s">
        <v>29</v>
      </c>
      <c r="L433" t="s">
        <v>30</v>
      </c>
      <c r="M433" t="s">
        <v>31</v>
      </c>
    </row>
    <row r="434" spans="1:13" x14ac:dyDescent="0.2">
      <c r="A434" t="s">
        <v>197</v>
      </c>
      <c r="B434">
        <v>772</v>
      </c>
      <c r="C434">
        <v>3716</v>
      </c>
      <c r="D434" t="str">
        <f>VLOOKUP(B434,[1]ManipulationPage!$A$3:$D$541,4,FALSE)</f>
        <v>zzz</v>
      </c>
      <c r="G434" t="e">
        <f>VLOOKUP($F434,RecipeNotes!$A$2:$E$62,3,FALSE)</f>
        <v>#N/A</v>
      </c>
      <c r="H434" t="e">
        <f>VLOOKUP($F434,RecipeNotes!$A$2:$E$62,5,FALSE)</f>
        <v>#N/A</v>
      </c>
    </row>
    <row r="435" spans="1:13" x14ac:dyDescent="0.2">
      <c r="A435" t="s">
        <v>202</v>
      </c>
      <c r="B435">
        <v>598</v>
      </c>
      <c r="C435">
        <v>3287</v>
      </c>
      <c r="D435" t="str">
        <f>VLOOKUP(B435,[1]ManipulationPage!$A$3:$D$541,4,FALSE)</f>
        <v>zzz</v>
      </c>
      <c r="F435" t="s">
        <v>173</v>
      </c>
      <c r="G435" t="str">
        <f>VLOOKUP($F435,RecipeNotes!$A$2:$E$62,3,FALSE)</f>
        <v>Shortcut recipe: Fold the dry ingredients gently into the wet ingredients. Bake at 180°C until a toothpick inserted in the middle comes out clean (about 40 minutes).</v>
      </c>
      <c r="H435" t="str">
        <f>VLOOKUP($F435,RecipeNotes!$A$2:$E$62,5,FALSE)</f>
        <v>Shortcut opskrift: Fold de tørre ingredienser ind i de våde. Bag i ovnen indtil en tandstik kan komme ud af dem uden dej sidder fast (ca 40 minutter).</v>
      </c>
      <c r="I435" t="s">
        <v>203</v>
      </c>
    </row>
    <row r="436" spans="1:13" x14ac:dyDescent="0.2">
      <c r="A436" t="s">
        <v>208</v>
      </c>
      <c r="B436">
        <v>1000</v>
      </c>
      <c r="C436">
        <v>5620</v>
      </c>
      <c r="D436" t="str">
        <f>VLOOKUP(B436,[1]ManipulationPage!$A$3:$D$541,4,FALSE)</f>
        <v>zzz</v>
      </c>
      <c r="F436" t="s">
        <v>698</v>
      </c>
      <c r="G436" t="str">
        <f>VLOOKUP($F436,RecipeNotes!$A$2:$E$62,3,FALSE)</f>
        <v xml:space="preserve">Shortcut recipe: Cut and mix all ingredients. Taste and balance with salt, sugar, sour, and umami.  </v>
      </c>
      <c r="H436" t="str">
        <f>VLOOKUP($F436,RecipeNotes!$A$2:$E$62,5,FALSE)</f>
        <v xml:space="preserve">Shortcut opskrift: Skær og bland alle ingredienser. Smag til med salt, sukker, syre og umami.  </v>
      </c>
      <c r="I436" t="s">
        <v>17</v>
      </c>
      <c r="J436" t="s">
        <v>17</v>
      </c>
      <c r="K436" t="s">
        <v>18</v>
      </c>
      <c r="L436" t="s">
        <v>19</v>
      </c>
      <c r="M436" t="s">
        <v>20</v>
      </c>
    </row>
    <row r="437" spans="1:13" x14ac:dyDescent="0.2">
      <c r="A437" t="s">
        <v>211</v>
      </c>
      <c r="B437">
        <v>1051</v>
      </c>
      <c r="C437">
        <v>7261</v>
      </c>
      <c r="D437" t="str">
        <f>VLOOKUP(B437,[1]ManipulationPage!$A$3:$D$541,4,FALSE)</f>
        <v>zzz</v>
      </c>
      <c r="F437" t="s">
        <v>210</v>
      </c>
      <c r="G437" t="str">
        <f>VLOOKUP($F437,RecipeNotes!$A$2:$E$62,3,FALSE)</f>
        <v>Shortcut recipe: Bake crust for 10 minutes, then add 'cheese' in the springform, and bake for another 45 minutes. Put in fridge overnight.</v>
      </c>
      <c r="H437" t="str">
        <f>VLOOKUP($F437,RecipeNotes!$A$2:$E$62,5,FALSE)</f>
        <v>Shortcut opskrift: Bag dejen i 10 minutter, tilføj derefter ost i springformen og bag i yderligere 45 mintter. Put i køleren over natten.</v>
      </c>
    </row>
    <row r="438" spans="1:13" x14ac:dyDescent="0.2">
      <c r="A438" t="s">
        <v>212</v>
      </c>
      <c r="B438">
        <v>189</v>
      </c>
      <c r="C438">
        <v>2006</v>
      </c>
      <c r="D438" t="str">
        <f>VLOOKUP(B438,[1]ManipulationPage!$A$3:$D$541,4,FALSE)</f>
        <v>zzz</v>
      </c>
      <c r="F438" t="s">
        <v>354</v>
      </c>
      <c r="G438" t="str">
        <f>VLOOKUP($F438,RecipeNotes!$A$2:$E$62,3,FALSE)</f>
        <v>Shortcut recipe: Cook then mash with a blender or fork. Taste and balance with salt, sugar, sour, and umami.</v>
      </c>
      <c r="H438" t="str">
        <f>VLOOKUP($F438,RecipeNotes!$A$2:$E$62,5,FALSE)</f>
        <v>Shortcut opskrift: Kog og blend derefter med en gaffel eller blender. Smag til med salt, sukker, syre og umami.</v>
      </c>
      <c r="I438" t="s">
        <v>79</v>
      </c>
      <c r="J438" t="s">
        <v>80</v>
      </c>
      <c r="K438" t="s">
        <v>81</v>
      </c>
    </row>
    <row r="439" spans="1:13" x14ac:dyDescent="0.2">
      <c r="A439" t="s">
        <v>213</v>
      </c>
      <c r="B439">
        <v>483</v>
      </c>
      <c r="C439">
        <v>3128</v>
      </c>
      <c r="D439" t="str">
        <f>VLOOKUP(B439,[1]ManipulationPage!$A$3:$D$541,4,FALSE)</f>
        <v>zzz</v>
      </c>
      <c r="F439" t="s">
        <v>125</v>
      </c>
      <c r="G439" t="str">
        <f>VLOOKUP($F439,RecipeNotes!$A$2:$E$62,3,FALSE)</f>
        <v>Shortcut recipe: knead in the wet ingredients into the dry until no flour pockets remain. Raise for 5 hours and bake for 1 hour (180 degrees).</v>
      </c>
      <c r="H439" t="str">
        <f>VLOOKUP($F439,RecipeNotes!$A$2:$E$62,5,FALSE)</f>
        <v>Shortcut opskrift: Ælt de våde ingredienser indi ide tørre, indtil der ikke er mel-lommer. Hæv i mindst 5 timer, bag i ovnen i en time (180 grader).</v>
      </c>
    </row>
    <row r="440" spans="1:13" x14ac:dyDescent="0.2">
      <c r="A440" t="s">
        <v>219</v>
      </c>
      <c r="B440">
        <v>992</v>
      </c>
      <c r="C440">
        <v>5488</v>
      </c>
      <c r="D440" t="str">
        <f>VLOOKUP(B440,[1]ManipulationPage!$A$3:$D$541,4,FALSE)</f>
        <v>zzz</v>
      </c>
      <c r="F440" t="s">
        <v>606</v>
      </c>
      <c r="G440" t="str">
        <f>VLOOKUP($F440,RecipeNotes!$A$2:$E$62,3,FALSE)</f>
        <v>Shortcut recipe: Fry onions and spices on a pan. Add your veggies and condiments. Mix with cooked pasta. Taste and balance with salt, sugar, sour, and umami.</v>
      </c>
      <c r="H440" t="str">
        <f>VLOOKUP($F440,RecipeNotes!$A$2:$E$62,5,FALSE)</f>
        <v>Shortcut opskrift: Steg løg og krydderier på panden. Tilføj dine grøntsager og saucer. Bland med kogt pasta. Smag til med salt, sukker, syre og umami.</v>
      </c>
      <c r="I440" t="s">
        <v>17</v>
      </c>
      <c r="J440" t="s">
        <v>220</v>
      </c>
      <c r="K440" t="s">
        <v>18</v>
      </c>
      <c r="L440" t="s">
        <v>19</v>
      </c>
      <c r="M440" t="s">
        <v>20</v>
      </c>
    </row>
    <row r="441" spans="1:13" x14ac:dyDescent="0.2">
      <c r="A441" t="s">
        <v>235</v>
      </c>
      <c r="B441">
        <v>626</v>
      </c>
      <c r="D441" t="str">
        <f>VLOOKUP(B441,[1]ManipulationPage!$A$3:$D$541,4,FALSE)</f>
        <v>zzz</v>
      </c>
      <c r="F441" t="s">
        <v>173</v>
      </c>
      <c r="G441" t="str">
        <f>VLOOKUP($F441,RecipeNotes!$A$2:$E$62,3,FALSE)</f>
        <v>Shortcut recipe: Fold the dry ingredients gently into the wet ingredients. Bake at 180°C until a toothpick inserted in the middle comes out clean (about 40 minutes).</v>
      </c>
      <c r="H441" t="str">
        <f>VLOOKUP($F441,RecipeNotes!$A$2:$E$62,5,FALSE)</f>
        <v>Shortcut opskrift: Fold de tørre ingredienser ind i de våde. Bag i ovnen indtil en tandstik kan komme ud af dem uden dej sidder fast (ca 40 minutter).</v>
      </c>
    </row>
    <row r="442" spans="1:13" x14ac:dyDescent="0.2">
      <c r="A442" t="s">
        <v>249</v>
      </c>
      <c r="B442">
        <v>241</v>
      </c>
      <c r="C442">
        <v>2322</v>
      </c>
      <c r="D442" t="str">
        <f>VLOOKUP(B442,[1]ManipulationPage!$A$3:$D$541,4,FALSE)</f>
        <v>zzz</v>
      </c>
      <c r="F442" t="s">
        <v>1549</v>
      </c>
      <c r="G442" t="str">
        <f>VLOOKUP($F442,RecipeNotes!$A$2:$E$62,3,FALSE)</f>
        <v xml:space="preserve">Shortcut recipe: Roast veggies with onion, spices, salt, and oil in the oven.  Taste and balance with salt, sugar, sour, and umami.  </v>
      </c>
      <c r="H442" t="str">
        <f>VLOOKUP($F442,RecipeNotes!$A$2:$E$62,5,FALSE)</f>
        <v xml:space="preserve">Shortcut opskrift: Læg grøntsagerne i ovnen med løg, krydderier, salt og olie.  Smag til med salt, sukker, syre og umami.  </v>
      </c>
      <c r="I442" t="s">
        <v>83</v>
      </c>
      <c r="J442" t="s">
        <v>84</v>
      </c>
      <c r="K442" t="s">
        <v>85</v>
      </c>
    </row>
    <row r="443" spans="1:13" x14ac:dyDescent="0.2">
      <c r="A443" t="s">
        <v>250</v>
      </c>
      <c r="B443">
        <v>916</v>
      </c>
      <c r="C443">
        <v>4068</v>
      </c>
      <c r="D443" t="str">
        <f>VLOOKUP(B443,[1]ManipulationPage!$A$3:$D$541,4,FALSE)</f>
        <v>zzz</v>
      </c>
      <c r="G443" t="e">
        <f>VLOOKUP($F443,RecipeNotes!$A$2:$E$62,3,FALSE)</f>
        <v>#N/A</v>
      </c>
      <c r="H443" t="e">
        <f>VLOOKUP($F443,RecipeNotes!$A$2:$E$62,5,FALSE)</f>
        <v>#N/A</v>
      </c>
      <c r="I443" t="s">
        <v>156</v>
      </c>
      <c r="J443" t="s">
        <v>157</v>
      </c>
      <c r="K443" t="s">
        <v>158</v>
      </c>
    </row>
    <row r="444" spans="1:13" x14ac:dyDescent="0.2">
      <c r="A444" t="s">
        <v>251</v>
      </c>
      <c r="B444">
        <v>914</v>
      </c>
      <c r="C444">
        <v>4060</v>
      </c>
      <c r="D444" t="str">
        <f>VLOOKUP(B444,[1]ManipulationPage!$A$3:$D$541,4,FALSE)</f>
        <v>zzz</v>
      </c>
      <c r="F444" t="s">
        <v>1546</v>
      </c>
      <c r="G444" t="str">
        <f>VLOOKUP($F444,RecipeNotes!$A$2:$E$62,3,FALSE)</f>
        <v>Shortcut recipe: Fry onions and spices on a pan. Add veggies. Add water with stock/broth. Blend the soup. Taste and balance with salt, sugar, sour, and umami.</v>
      </c>
      <c r="H444" t="str">
        <f>VLOOKUP($F444,RecipeNotes!$A$2:$E$62,5,FALSE)</f>
        <v>Shortcut opskrift: Steg løg og krydderier på panden. Tilføj grøntsager Til føj vand med buillon. Blend suppen. Smag til med salt, sukker, syre og umami.</v>
      </c>
    </row>
    <row r="445" spans="1:13" x14ac:dyDescent="0.2">
      <c r="A445" t="s">
        <v>294</v>
      </c>
      <c r="B445">
        <v>35</v>
      </c>
      <c r="C445">
        <v>1157</v>
      </c>
      <c r="D445" t="str">
        <f>VLOOKUP(B445,[1]ManipulationPage!$A$3:$D$541,4,FALSE)</f>
        <v>zzz</v>
      </c>
      <c r="F445" t="s">
        <v>192</v>
      </c>
      <c r="G445" t="str">
        <f>VLOOKUP($F445,RecipeNotes!$A$2:$E$62,3,FALSE)</f>
        <v>Shortcut recipe: Put a layer of cooked grains on-top of your sauce. Bake in the oven for 30+ minutes (180 degrees)</v>
      </c>
      <c r="H445" t="str">
        <f>VLOOKUP($F445,RecipeNotes!$A$2:$E$62,5,FALSE)</f>
        <v>Shortcut opskrift: Put et lag af dine kogte korn på toppen. Bag i ovnen i +30 minutter ved 180 grader.</v>
      </c>
      <c r="I445" t="s">
        <v>295</v>
      </c>
      <c r="J445" t="s">
        <v>296</v>
      </c>
      <c r="K445" t="s">
        <v>297</v>
      </c>
    </row>
    <row r="446" spans="1:13" x14ac:dyDescent="0.2">
      <c r="A446" t="s">
        <v>298</v>
      </c>
      <c r="B446">
        <v>250</v>
      </c>
      <c r="C446">
        <v>2366</v>
      </c>
      <c r="D446" t="str">
        <f>VLOOKUP(B446,[1]ManipulationPage!$A$3:$D$541,4,FALSE)</f>
        <v>zzz</v>
      </c>
      <c r="F446" t="s">
        <v>351</v>
      </c>
      <c r="G446" t="str">
        <f>VLOOKUP($F446,RecipeNotes!$A$2:$E$62,3,FALSE)</f>
        <v xml:space="preserve">Shortcut recipe: Fry onions and spices on a pan. Add lentils, then water with stock. Taste and balance with salt, sugar, sour, and umami.  </v>
      </c>
      <c r="H446" t="str">
        <f>VLOOKUP($F446,RecipeNotes!$A$2:$E$62,5,FALSE)</f>
        <v xml:space="preserve">Shortcut opskrift: Steg løg og krydderier på panden. Tilføj linser, dernæst vand med buillon. Smag til med salt, sukker, syre og umami.  </v>
      </c>
      <c r="I446" t="s">
        <v>299</v>
      </c>
      <c r="J446" t="s">
        <v>300</v>
      </c>
      <c r="K446" t="s">
        <v>301</v>
      </c>
    </row>
    <row r="447" spans="1:13" x14ac:dyDescent="0.2">
      <c r="A447" t="s">
        <v>302</v>
      </c>
      <c r="B447">
        <v>90</v>
      </c>
      <c r="C447">
        <v>1415</v>
      </c>
      <c r="D447" t="str">
        <f>VLOOKUP(B447,[1]ManipulationPage!$A$3:$D$541,4,FALSE)</f>
        <v>zzz</v>
      </c>
      <c r="F447" t="s">
        <v>351</v>
      </c>
      <c r="G447" t="str">
        <f>VLOOKUP($F447,RecipeNotes!$A$2:$E$62,3,FALSE)</f>
        <v xml:space="preserve">Shortcut recipe: Fry onions and spices on a pan. Add lentils, then water with stock. Taste and balance with salt, sugar, sour, and umami.  </v>
      </c>
      <c r="H447" t="str">
        <f>VLOOKUP($F447,RecipeNotes!$A$2:$E$62,5,FALSE)</f>
        <v xml:space="preserve">Shortcut opskrift: Steg løg og krydderier på panden. Tilføj linser, dernæst vand med buillon. Smag til med salt, sukker, syre og umami.  </v>
      </c>
      <c r="I447" t="s">
        <v>253</v>
      </c>
      <c r="J447" t="s">
        <v>254</v>
      </c>
      <c r="K447" t="s">
        <v>255</v>
      </c>
    </row>
    <row r="448" spans="1:13" x14ac:dyDescent="0.2">
      <c r="A448" t="s">
        <v>332</v>
      </c>
      <c r="B448">
        <v>859</v>
      </c>
      <c r="C448">
        <v>3902</v>
      </c>
      <c r="D448" t="str">
        <f>VLOOKUP(B448,[1]ManipulationPage!$A$3:$D$541,4,FALSE)</f>
        <v>zzz</v>
      </c>
      <c r="G448" t="e">
        <f>VLOOKUP($F448,RecipeNotes!$A$2:$E$62,3,FALSE)</f>
        <v>#N/A</v>
      </c>
      <c r="H448" t="e">
        <f>VLOOKUP($F448,RecipeNotes!$A$2:$E$62,5,FALSE)</f>
        <v>#N/A</v>
      </c>
      <c r="I448" t="s">
        <v>333</v>
      </c>
    </row>
    <row r="449" spans="1:11" x14ac:dyDescent="0.2">
      <c r="A449" t="s">
        <v>334</v>
      </c>
      <c r="B449">
        <v>855</v>
      </c>
      <c r="C449">
        <v>3894</v>
      </c>
      <c r="D449" t="str">
        <f>VLOOKUP(B449,[1]ManipulationPage!$A$3:$D$541,4,FALSE)</f>
        <v>zzz</v>
      </c>
      <c r="G449" t="e">
        <f>VLOOKUP($F449,RecipeNotes!$A$2:$E$62,3,FALSE)</f>
        <v>#N/A</v>
      </c>
      <c r="H449" t="e">
        <f>VLOOKUP($F449,RecipeNotes!$A$2:$E$62,5,FALSE)</f>
        <v>#N/A</v>
      </c>
      <c r="I449" t="s">
        <v>335</v>
      </c>
    </row>
    <row r="450" spans="1:11" x14ac:dyDescent="0.2">
      <c r="A450" t="s">
        <v>336</v>
      </c>
      <c r="B450">
        <v>857</v>
      </c>
      <c r="C450">
        <v>3898</v>
      </c>
      <c r="D450" t="str">
        <f>VLOOKUP(B450,[1]ManipulationPage!$A$3:$D$541,4,FALSE)</f>
        <v>zzz</v>
      </c>
      <c r="G450" t="e">
        <f>VLOOKUP($F450,RecipeNotes!$A$2:$E$62,3,FALSE)</f>
        <v>#N/A</v>
      </c>
      <c r="H450" t="e">
        <f>VLOOKUP($F450,RecipeNotes!$A$2:$E$62,5,FALSE)</f>
        <v>#N/A</v>
      </c>
      <c r="I450" t="s">
        <v>337</v>
      </c>
    </row>
    <row r="451" spans="1:11" x14ac:dyDescent="0.2">
      <c r="A451" t="s">
        <v>338</v>
      </c>
      <c r="B451">
        <v>862</v>
      </c>
      <c r="C451">
        <v>3908</v>
      </c>
      <c r="D451" t="str">
        <f>VLOOKUP(B451,[1]ManipulationPage!$A$3:$D$541,4,FALSE)</f>
        <v>zzz</v>
      </c>
      <c r="G451" t="e">
        <f>VLOOKUP($F451,RecipeNotes!$A$2:$E$62,3,FALSE)</f>
        <v>#N/A</v>
      </c>
      <c r="H451" t="e">
        <f>VLOOKUP($F451,RecipeNotes!$A$2:$E$62,5,FALSE)</f>
        <v>#N/A</v>
      </c>
      <c r="I451" t="s">
        <v>333</v>
      </c>
    </row>
    <row r="452" spans="1:11" x14ac:dyDescent="0.2">
      <c r="A452" t="s">
        <v>339</v>
      </c>
      <c r="B452">
        <v>863</v>
      </c>
      <c r="C452">
        <v>3910</v>
      </c>
      <c r="D452" t="str">
        <f>VLOOKUP(B452,[1]ManipulationPage!$A$3:$D$541,4,FALSE)</f>
        <v>zzz</v>
      </c>
      <c r="G452" t="e">
        <f>VLOOKUP($F452,RecipeNotes!$A$2:$E$62,3,FALSE)</f>
        <v>#N/A</v>
      </c>
      <c r="H452" t="e">
        <f>VLOOKUP($F452,RecipeNotes!$A$2:$E$62,5,FALSE)</f>
        <v>#N/A</v>
      </c>
      <c r="I452" t="s">
        <v>333</v>
      </c>
    </row>
    <row r="453" spans="1:11" x14ac:dyDescent="0.2">
      <c r="A453" t="s">
        <v>340</v>
      </c>
      <c r="B453">
        <v>861</v>
      </c>
      <c r="C453">
        <v>3906</v>
      </c>
      <c r="D453" t="str">
        <f>VLOOKUP(B453,[1]ManipulationPage!$A$3:$D$541,4,FALSE)</f>
        <v>zzz</v>
      </c>
      <c r="G453" t="e">
        <f>VLOOKUP($F453,RecipeNotes!$A$2:$E$62,3,FALSE)</f>
        <v>#N/A</v>
      </c>
      <c r="H453" t="e">
        <f>VLOOKUP($F453,RecipeNotes!$A$2:$E$62,5,FALSE)</f>
        <v>#N/A</v>
      </c>
      <c r="I453" t="s">
        <v>333</v>
      </c>
    </row>
    <row r="454" spans="1:11" x14ac:dyDescent="0.2">
      <c r="A454" t="s">
        <v>341</v>
      </c>
      <c r="B454">
        <v>856</v>
      </c>
      <c r="C454">
        <v>3896</v>
      </c>
      <c r="D454" t="str">
        <f>VLOOKUP(B454,[1]ManipulationPage!$A$3:$D$541,4,FALSE)</f>
        <v>zzz</v>
      </c>
      <c r="G454" t="e">
        <f>VLOOKUP($F454,RecipeNotes!$A$2:$E$62,3,FALSE)</f>
        <v>#N/A</v>
      </c>
      <c r="H454" t="e">
        <f>VLOOKUP($F454,RecipeNotes!$A$2:$E$62,5,FALSE)</f>
        <v>#N/A</v>
      </c>
      <c r="I454" t="s">
        <v>342</v>
      </c>
    </row>
    <row r="455" spans="1:11" x14ac:dyDescent="0.2">
      <c r="A455" t="s">
        <v>343</v>
      </c>
      <c r="B455">
        <v>858</v>
      </c>
      <c r="C455">
        <v>3900</v>
      </c>
      <c r="D455" t="str">
        <f>VLOOKUP(B455,[1]ManipulationPage!$A$3:$D$541,4,FALSE)</f>
        <v>zzz</v>
      </c>
      <c r="G455" t="e">
        <f>VLOOKUP($F455,RecipeNotes!$A$2:$E$62,3,FALSE)</f>
        <v>#N/A</v>
      </c>
      <c r="H455" t="e">
        <f>VLOOKUP($F455,RecipeNotes!$A$2:$E$62,5,FALSE)</f>
        <v>#N/A</v>
      </c>
      <c r="I455" t="s">
        <v>333</v>
      </c>
    </row>
    <row r="456" spans="1:11" x14ac:dyDescent="0.2">
      <c r="A456" t="s">
        <v>344</v>
      </c>
      <c r="B456">
        <v>860</v>
      </c>
      <c r="C456">
        <v>3904</v>
      </c>
      <c r="D456" t="str">
        <f>VLOOKUP(B456,[1]ManipulationPage!$A$3:$D$541,4,FALSE)</f>
        <v>zzz</v>
      </c>
      <c r="G456" t="e">
        <f>VLOOKUP($F456,RecipeNotes!$A$2:$E$62,3,FALSE)</f>
        <v>#N/A</v>
      </c>
      <c r="H456" t="e">
        <f>VLOOKUP($F456,RecipeNotes!$A$2:$E$62,5,FALSE)</f>
        <v>#N/A</v>
      </c>
      <c r="I456" t="s">
        <v>333</v>
      </c>
    </row>
    <row r="457" spans="1:11" x14ac:dyDescent="0.2">
      <c r="A457" t="s">
        <v>362</v>
      </c>
      <c r="B457">
        <v>668</v>
      </c>
      <c r="C457">
        <v>3495</v>
      </c>
      <c r="D457" t="str">
        <f>VLOOKUP(B457,[1]ManipulationPage!$A$3:$D$541,4,FALSE)</f>
        <v>zzz</v>
      </c>
      <c r="G457" t="e">
        <f>VLOOKUP($F457,RecipeNotes!$A$2:$E$62,3,FALSE)</f>
        <v>#N/A</v>
      </c>
      <c r="H457" t="e">
        <f>VLOOKUP($F457,RecipeNotes!$A$2:$E$62,5,FALSE)</f>
        <v>#N/A</v>
      </c>
    </row>
    <row r="458" spans="1:11" x14ac:dyDescent="0.2">
      <c r="A458" t="s">
        <v>372</v>
      </c>
      <c r="B458">
        <v>1074</v>
      </c>
      <c r="C458">
        <v>8462</v>
      </c>
      <c r="D458" t="str">
        <f>VLOOKUP(B458,[1]ManipulationPage!$A$3:$D$541,4,FALSE)</f>
        <v>zzz</v>
      </c>
      <c r="G458" t="e">
        <f>VLOOKUP($F458,RecipeNotes!$A$2:$E$62,3,FALSE)</f>
        <v>#N/A</v>
      </c>
      <c r="H458" t="e">
        <f>VLOOKUP($F458,RecipeNotes!$A$2:$E$62,5,FALSE)</f>
        <v>#N/A</v>
      </c>
    </row>
    <row r="459" spans="1:11" x14ac:dyDescent="0.2">
      <c r="A459" t="s">
        <v>375</v>
      </c>
      <c r="B459">
        <v>170</v>
      </c>
      <c r="C459">
        <v>1899</v>
      </c>
      <c r="D459" t="str">
        <f>VLOOKUP(B459,[1]ManipulationPage!$A$3:$D$541,4,FALSE)</f>
        <v>zzz</v>
      </c>
      <c r="F459" t="s">
        <v>740</v>
      </c>
      <c r="G459" t="str">
        <f>VLOOKUP($F459,RecipeNotes!$A$2:$E$62,3,FALSE)</f>
        <v>Shortcut recipe: Mix and blend all ingredients. Store it in the fridge up to 3 days. Serve the smoothie cold.</v>
      </c>
      <c r="H459" t="str">
        <f>VLOOKUP($F459,RecipeNotes!$A$2:$E$62,5,FALSE)</f>
        <v>Shortcut opskrift: Bland og blend alle ingredienser. Opbevar i køleren op til 3 dage.</v>
      </c>
      <c r="I459" t="s">
        <v>34</v>
      </c>
      <c r="J459" t="s">
        <v>35</v>
      </c>
      <c r="K459" t="s">
        <v>36</v>
      </c>
    </row>
    <row r="460" spans="1:11" x14ac:dyDescent="0.2">
      <c r="A460" t="s">
        <v>396</v>
      </c>
      <c r="B460">
        <v>603</v>
      </c>
      <c r="D460" t="str">
        <f>VLOOKUP(B460,[1]ManipulationPage!$A$3:$D$541,4,FALSE)</f>
        <v>zzz</v>
      </c>
      <c r="G460" t="e">
        <f>VLOOKUP($F460,RecipeNotes!$A$2:$E$62,3,FALSE)</f>
        <v>#N/A</v>
      </c>
      <c r="H460" t="e">
        <f>VLOOKUP($F460,RecipeNotes!$A$2:$E$62,5,FALSE)</f>
        <v>#N/A</v>
      </c>
    </row>
    <row r="461" spans="1:11" x14ac:dyDescent="0.2">
      <c r="A461" t="s">
        <v>397</v>
      </c>
      <c r="B461">
        <v>339</v>
      </c>
      <c r="C461">
        <v>2786</v>
      </c>
      <c r="D461" t="str">
        <f>VLOOKUP(B461,[1]ManipulationPage!$A$3:$D$541,4,FALSE)</f>
        <v>zzz</v>
      </c>
      <c r="G461" t="e">
        <f>VLOOKUP($F461,RecipeNotes!$A$2:$E$62,3,FALSE)</f>
        <v>#N/A</v>
      </c>
      <c r="H461" t="e">
        <f>VLOOKUP($F461,RecipeNotes!$A$2:$E$62,5,FALSE)</f>
        <v>#N/A</v>
      </c>
      <c r="I461" t="s">
        <v>398</v>
      </c>
      <c r="J461" t="s">
        <v>398</v>
      </c>
      <c r="K461" t="s">
        <v>399</v>
      </c>
    </row>
    <row r="462" spans="1:11" x14ac:dyDescent="0.2">
      <c r="A462" t="s">
        <v>402</v>
      </c>
      <c r="B462">
        <v>1090</v>
      </c>
      <c r="C462">
        <v>9187</v>
      </c>
      <c r="D462" t="str">
        <f>VLOOKUP(B462,[1]ManipulationPage!$A$3:$D$541,4,FALSE)</f>
        <v>zzz</v>
      </c>
      <c r="F462" t="s">
        <v>1634</v>
      </c>
      <c r="G462" t="str">
        <f>VLOOKUP($F462,RecipeNotes!$A$2:$E$62,3,FALSE)</f>
        <v>Shortcut recipe: Mix ingredients and stir around with a fork.</v>
      </c>
      <c r="H462" t="str">
        <f>VLOOKUP($F462,RecipeNotes!$A$2:$E$62,5,FALSE)</f>
        <v>Shortcut opskrift: Bland ingredienser og rør rundt med en gaffel.</v>
      </c>
    </row>
    <row r="463" spans="1:11" x14ac:dyDescent="0.2">
      <c r="A463" t="s">
        <v>409</v>
      </c>
      <c r="B463">
        <v>556</v>
      </c>
      <c r="D463" t="str">
        <f>VLOOKUP(B463,[1]ManipulationPage!$A$3:$D$541,4,FALSE)</f>
        <v>zzz</v>
      </c>
      <c r="G463" t="e">
        <f>VLOOKUP($F463,RecipeNotes!$A$2:$E$62,3,FALSE)</f>
        <v>#N/A</v>
      </c>
      <c r="H463" t="e">
        <f>VLOOKUP($F463,RecipeNotes!$A$2:$E$62,5,FALSE)</f>
        <v>#N/A</v>
      </c>
    </row>
    <row r="464" spans="1:11" x14ac:dyDescent="0.2">
      <c r="A464" t="s">
        <v>410</v>
      </c>
      <c r="B464">
        <v>555</v>
      </c>
      <c r="D464" t="str">
        <f>VLOOKUP(B464,[1]ManipulationPage!$A$3:$D$541,4,FALSE)</f>
        <v>zzz</v>
      </c>
      <c r="G464" t="e">
        <f>VLOOKUP($F464,RecipeNotes!$A$2:$E$62,3,FALSE)</f>
        <v>#N/A</v>
      </c>
      <c r="H464" t="e">
        <f>VLOOKUP($F464,RecipeNotes!$A$2:$E$62,5,FALSE)</f>
        <v>#N/A</v>
      </c>
    </row>
    <row r="465" spans="1:11" x14ac:dyDescent="0.2">
      <c r="A465" t="s">
        <v>418</v>
      </c>
      <c r="B465">
        <v>340</v>
      </c>
      <c r="C465">
        <v>2794</v>
      </c>
      <c r="D465" t="str">
        <f>VLOOKUP(B465,[1]ManipulationPage!$A$3:$D$541,4,FALSE)</f>
        <v>zzz</v>
      </c>
      <c r="G465" t="e">
        <f>VLOOKUP($F465,RecipeNotes!$A$2:$E$62,3,FALSE)</f>
        <v>#N/A</v>
      </c>
      <c r="H465" t="e">
        <f>VLOOKUP($F465,RecipeNotes!$A$2:$E$62,5,FALSE)</f>
        <v>#N/A</v>
      </c>
      <c r="I465" t="s">
        <v>419</v>
      </c>
      <c r="J465" t="s">
        <v>420</v>
      </c>
      <c r="K465" t="s">
        <v>419</v>
      </c>
    </row>
    <row r="466" spans="1:11" x14ac:dyDescent="0.2">
      <c r="A466" t="s">
        <v>422</v>
      </c>
      <c r="B466">
        <v>274</v>
      </c>
      <c r="C466">
        <v>2514</v>
      </c>
      <c r="D466" t="str">
        <f>VLOOKUP(B466,[1]ManipulationPage!$A$3:$D$541,4,FALSE)</f>
        <v>zzz</v>
      </c>
      <c r="G466" t="e">
        <f>VLOOKUP($F466,RecipeNotes!$A$2:$E$62,3,FALSE)</f>
        <v>#N/A</v>
      </c>
      <c r="H466" t="e">
        <f>VLOOKUP($F466,RecipeNotes!$A$2:$E$62,5,FALSE)</f>
        <v>#N/A</v>
      </c>
      <c r="I466" t="s">
        <v>423</v>
      </c>
      <c r="J466" t="s">
        <v>424</v>
      </c>
      <c r="K466" t="s">
        <v>425</v>
      </c>
    </row>
    <row r="467" spans="1:11" x14ac:dyDescent="0.2">
      <c r="A467" t="s">
        <v>432</v>
      </c>
      <c r="B467">
        <v>604</v>
      </c>
      <c r="C467">
        <v>3299</v>
      </c>
      <c r="D467" t="str">
        <f>VLOOKUP(B467,[1]ManipulationPage!$A$3:$D$541,4,FALSE)</f>
        <v>zzz</v>
      </c>
      <c r="G467" t="e">
        <f>VLOOKUP($F467,RecipeNotes!$A$2:$E$62,3,FALSE)</f>
        <v>#N/A</v>
      </c>
      <c r="H467" t="e">
        <f>VLOOKUP($F467,RecipeNotes!$A$2:$E$62,5,FALSE)</f>
        <v>#N/A</v>
      </c>
      <c r="I467" t="s">
        <v>253</v>
      </c>
      <c r="J467" t="s">
        <v>254</v>
      </c>
      <c r="K467" t="s">
        <v>255</v>
      </c>
    </row>
    <row r="468" spans="1:11" x14ac:dyDescent="0.2">
      <c r="A468" t="s">
        <v>433</v>
      </c>
      <c r="B468">
        <v>606</v>
      </c>
      <c r="C468">
        <v>3307</v>
      </c>
      <c r="D468" t="str">
        <f>VLOOKUP(B468,[1]ManipulationPage!$A$3:$D$541,4,FALSE)</f>
        <v>zzz</v>
      </c>
      <c r="G468" t="e">
        <f>VLOOKUP($F468,RecipeNotes!$A$2:$E$62,3,FALSE)</f>
        <v>#N/A</v>
      </c>
      <c r="H468" t="e">
        <f>VLOOKUP($F468,RecipeNotes!$A$2:$E$62,5,FALSE)</f>
        <v>#N/A</v>
      </c>
      <c r="I468" t="s">
        <v>434</v>
      </c>
      <c r="J468" t="s">
        <v>435</v>
      </c>
      <c r="K468" t="s">
        <v>436</v>
      </c>
    </row>
    <row r="469" spans="1:11" x14ac:dyDescent="0.2">
      <c r="A469" t="s">
        <v>437</v>
      </c>
      <c r="B469">
        <v>609</v>
      </c>
      <c r="C469">
        <v>3321</v>
      </c>
      <c r="D469" t="str">
        <f>VLOOKUP(B469,[1]ManipulationPage!$A$3:$D$541,4,FALSE)</f>
        <v>zzz</v>
      </c>
      <c r="G469" t="e">
        <f>VLOOKUP($F469,RecipeNotes!$A$2:$E$62,3,FALSE)</f>
        <v>#N/A</v>
      </c>
      <c r="H469" t="e">
        <f>VLOOKUP($F469,RecipeNotes!$A$2:$E$62,5,FALSE)</f>
        <v>#N/A</v>
      </c>
      <c r="I469" t="s">
        <v>438</v>
      </c>
      <c r="J469" t="s">
        <v>439</v>
      </c>
      <c r="K469" t="s">
        <v>440</v>
      </c>
    </row>
    <row r="470" spans="1:11" x14ac:dyDescent="0.2">
      <c r="A470" t="s">
        <v>441</v>
      </c>
      <c r="B470">
        <v>607</v>
      </c>
      <c r="C470">
        <v>3313</v>
      </c>
      <c r="D470" t="str">
        <f>VLOOKUP(B470,[1]ManipulationPage!$A$3:$D$541,4,FALSE)</f>
        <v>zzz</v>
      </c>
      <c r="G470" t="e">
        <f>VLOOKUP($F470,RecipeNotes!$A$2:$E$62,3,FALSE)</f>
        <v>#N/A</v>
      </c>
      <c r="H470" t="e">
        <f>VLOOKUP($F470,RecipeNotes!$A$2:$E$62,5,FALSE)</f>
        <v>#N/A</v>
      </c>
      <c r="I470" t="s">
        <v>113</v>
      </c>
      <c r="J470" t="s">
        <v>114</v>
      </c>
      <c r="K470" t="s">
        <v>115</v>
      </c>
    </row>
    <row r="471" spans="1:11" x14ac:dyDescent="0.2">
      <c r="A471" t="s">
        <v>447</v>
      </c>
      <c r="B471">
        <v>560</v>
      </c>
      <c r="D471" t="str">
        <f>VLOOKUP(B471,[1]ManipulationPage!$A$3:$D$541,4,FALSE)</f>
        <v>zzz</v>
      </c>
      <c r="F471" t="s">
        <v>1640</v>
      </c>
      <c r="G471" t="str">
        <f>VLOOKUP($F471,RecipeNotes!$A$2:$E$62,3,FALSE)</f>
        <v>Shortcut recipe: Prepare your ingredients seperately and add as layers on the bread.</v>
      </c>
      <c r="H471" t="str">
        <f>VLOOKUP($F471,RecipeNotes!$A$2:$E$62,5,FALSE)</f>
        <v>Shortcut opskrift: Forbered dine ingredienser sperat og put på brøddet i lag.</v>
      </c>
    </row>
    <row r="472" spans="1:11" x14ac:dyDescent="0.2">
      <c r="A472" t="s">
        <v>454</v>
      </c>
      <c r="B472">
        <v>193</v>
      </c>
      <c r="C472">
        <v>2032</v>
      </c>
      <c r="D472" t="str">
        <f>VLOOKUP(B472,[1]ManipulationPage!$A$3:$D$541,4,FALSE)</f>
        <v>zzz</v>
      </c>
      <c r="F472" t="s">
        <v>354</v>
      </c>
      <c r="G472" t="str">
        <f>VLOOKUP($F472,RecipeNotes!$A$2:$E$62,3,FALSE)</f>
        <v>Shortcut recipe: Cook then mash with a blender or fork. Taste and balance with salt, sugar, sour, and umami.</v>
      </c>
      <c r="H472" t="str">
        <f>VLOOKUP($F472,RecipeNotes!$A$2:$E$62,5,FALSE)</f>
        <v>Shortcut opskrift: Kog og blend derefter med en gaffel eller blender. Smag til med salt, sukker, syre og umami.</v>
      </c>
      <c r="I472" t="s">
        <v>79</v>
      </c>
      <c r="J472" t="s">
        <v>80</v>
      </c>
      <c r="K472" t="s">
        <v>81</v>
      </c>
    </row>
    <row r="473" spans="1:11" x14ac:dyDescent="0.2">
      <c r="A473" t="s">
        <v>461</v>
      </c>
      <c r="B473">
        <v>924</v>
      </c>
      <c r="D473" t="str">
        <f>VLOOKUP(B473,[1]ManipulationPage!$A$3:$D$541,4,FALSE)</f>
        <v>zzz</v>
      </c>
      <c r="F473" t="s">
        <v>604</v>
      </c>
      <c r="G473" t="str">
        <f>VLOOKUP($F473,RecipeNotes!$A$2:$E$62,3,FALSE)</f>
        <v>Shortcut recipe: Fry onions and spices on a pan. Mix with cooked pasta, including a cup of the pasta water (for creamy consistency).</v>
      </c>
      <c r="H473" t="str">
        <f>VLOOKUP($F473,RecipeNotes!$A$2:$E$62,5,FALSE)</f>
        <v>Shortcut opskrift: Steg løg og krydderier på panden. Ibland den kogte pasta med en kop pasta vand.</v>
      </c>
    </row>
    <row r="474" spans="1:11" x14ac:dyDescent="0.2">
      <c r="A474" t="s">
        <v>471</v>
      </c>
      <c r="B474">
        <v>99</v>
      </c>
      <c r="C474">
        <v>1465</v>
      </c>
      <c r="D474" t="str">
        <f>VLOOKUP(B474,[1]ManipulationPage!$A$3:$D$541,4,FALSE)</f>
        <v>zzz</v>
      </c>
      <c r="F474" t="s">
        <v>1634</v>
      </c>
      <c r="G474" t="str">
        <f>VLOOKUP($F474,RecipeNotes!$A$2:$E$62,3,FALSE)</f>
        <v>Shortcut recipe: Mix ingredients and stir around with a fork.</v>
      </c>
      <c r="H474" t="str">
        <f>VLOOKUP($F474,RecipeNotes!$A$2:$E$62,5,FALSE)</f>
        <v>Shortcut opskrift: Bland ingredienser og rør rundt med en gaffel.</v>
      </c>
      <c r="I474" t="s">
        <v>472</v>
      </c>
      <c r="J474" t="s">
        <v>473</v>
      </c>
      <c r="K474" t="s">
        <v>474</v>
      </c>
    </row>
    <row r="475" spans="1:11" x14ac:dyDescent="0.2">
      <c r="A475" t="s">
        <v>481</v>
      </c>
      <c r="B475">
        <v>252</v>
      </c>
      <c r="C475">
        <v>2380</v>
      </c>
      <c r="D475" t="str">
        <f>VLOOKUP(B475,[1]ManipulationPage!$A$3:$D$541,4,FALSE)</f>
        <v>zzz</v>
      </c>
      <c r="F475" t="s">
        <v>1631</v>
      </c>
      <c r="G475" t="str">
        <f>VLOOKUP($F475,RecipeNotes!$A$2:$E$62,3,FALSE)</f>
        <v>Shortcut recipe: Fry onions and spices on a pan. Add veggies. Taste and balance with salt, sugar, sour, and umami. Pluck the leaves off your cabbage/lettuce, to be used as 'tacos'. Add all to the 'tacos'. Enjoy!</v>
      </c>
      <c r="H475" t="str">
        <f>VLOOKUP($F475,RecipeNotes!$A$2:$E$62,5,FALSE)</f>
        <v>Shortcut opskrift: Steg løg og krydderier på panden. Tilføj grøntsager Smag til med salt, sukker, syre og umami. Pluk bladene forsigtigt af dine kål/salat for at bruge dem som 'tacos'. Tilføj i din 'tacos'.</v>
      </c>
      <c r="I475" t="s">
        <v>170</v>
      </c>
      <c r="J475" t="s">
        <v>171</v>
      </c>
      <c r="K475" t="s">
        <v>172</v>
      </c>
    </row>
    <row r="476" spans="1:11" x14ac:dyDescent="0.2">
      <c r="A476" t="s">
        <v>490</v>
      </c>
      <c r="B476">
        <v>507</v>
      </c>
      <c r="C476">
        <v>3174</v>
      </c>
      <c r="D476" t="str">
        <f>VLOOKUP(B476,[1]ManipulationPage!$A$3:$D$541,4,FALSE)</f>
        <v>zzz</v>
      </c>
      <c r="G476" t="e">
        <f>VLOOKUP($F476,RecipeNotes!$A$2:$E$62,3,FALSE)</f>
        <v>#N/A</v>
      </c>
      <c r="H476" t="e">
        <f>VLOOKUP($F476,RecipeNotes!$A$2:$E$62,5,FALSE)</f>
        <v>#N/A</v>
      </c>
      <c r="I476" t="s">
        <v>491</v>
      </c>
      <c r="J476" t="s">
        <v>492</v>
      </c>
      <c r="K476" t="s">
        <v>491</v>
      </c>
    </row>
    <row r="477" spans="1:11" x14ac:dyDescent="0.2">
      <c r="A477" t="s">
        <v>498</v>
      </c>
      <c r="B477">
        <v>1092</v>
      </c>
      <c r="C477">
        <v>9259</v>
      </c>
      <c r="D477" t="str">
        <f>VLOOKUP(B477,[1]ManipulationPage!$A$3:$D$541,4,FALSE)</f>
        <v>zzz</v>
      </c>
      <c r="F477" t="s">
        <v>1634</v>
      </c>
      <c r="G477" t="str">
        <f>VLOOKUP($F477,RecipeNotes!$A$2:$E$62,3,FALSE)</f>
        <v>Shortcut recipe: Mix ingredients and stir around with a fork.</v>
      </c>
      <c r="H477" t="str">
        <f>VLOOKUP($F477,RecipeNotes!$A$2:$E$62,5,FALSE)</f>
        <v>Shortcut opskrift: Bland ingredienser og rør rundt med en gaffel.</v>
      </c>
    </row>
    <row r="478" spans="1:11" x14ac:dyDescent="0.2">
      <c r="A478" t="s">
        <v>502</v>
      </c>
      <c r="B478">
        <v>669</v>
      </c>
      <c r="C478">
        <v>3497</v>
      </c>
      <c r="D478" t="str">
        <f>VLOOKUP(B478,[1]ManipulationPage!$A$3:$D$541,4,FALSE)</f>
        <v>zzz</v>
      </c>
      <c r="G478" t="e">
        <f>VLOOKUP($F478,RecipeNotes!$A$2:$E$62,3,FALSE)</f>
        <v>#N/A</v>
      </c>
      <c r="H478" t="e">
        <f>VLOOKUP($F478,RecipeNotes!$A$2:$E$62,5,FALSE)</f>
        <v>#N/A</v>
      </c>
    </row>
    <row r="479" spans="1:11" x14ac:dyDescent="0.2">
      <c r="A479" t="s">
        <v>507</v>
      </c>
      <c r="B479">
        <v>335</v>
      </c>
      <c r="C479">
        <v>2774</v>
      </c>
      <c r="D479" t="str">
        <f>VLOOKUP(B479,[1]ManipulationPage!$A$3:$D$541,4,FALSE)</f>
        <v>zzz</v>
      </c>
      <c r="G479" t="e">
        <f>VLOOKUP($F479,RecipeNotes!$A$2:$E$62,3,FALSE)</f>
        <v>#N/A</v>
      </c>
      <c r="H479" t="e">
        <f>VLOOKUP($F479,RecipeNotes!$A$2:$E$62,5,FALSE)</f>
        <v>#N/A</v>
      </c>
      <c r="I479" t="s">
        <v>508</v>
      </c>
      <c r="J479" t="s">
        <v>509</v>
      </c>
      <c r="K479" t="s">
        <v>510</v>
      </c>
    </row>
    <row r="480" spans="1:11" x14ac:dyDescent="0.2">
      <c r="A480" t="s">
        <v>512</v>
      </c>
      <c r="B480">
        <v>883</v>
      </c>
      <c r="C480">
        <v>3954</v>
      </c>
      <c r="D480" t="str">
        <f>VLOOKUP(B480,[1]ManipulationPage!$A$3:$D$541,4,FALSE)</f>
        <v>zzz</v>
      </c>
      <c r="G480" t="e">
        <f>VLOOKUP($F480,RecipeNotes!$A$2:$E$62,3,FALSE)</f>
        <v>#N/A</v>
      </c>
      <c r="H480" t="e">
        <f>VLOOKUP($F480,RecipeNotes!$A$2:$E$62,5,FALSE)</f>
        <v>#N/A</v>
      </c>
    </row>
    <row r="481" spans="1:11" x14ac:dyDescent="0.2">
      <c r="A481" t="s">
        <v>513</v>
      </c>
      <c r="B481">
        <v>877</v>
      </c>
      <c r="C481">
        <v>3940</v>
      </c>
      <c r="D481" t="str">
        <f>VLOOKUP(B481,[1]ManipulationPage!$A$3:$D$541,4,FALSE)</f>
        <v>zzz</v>
      </c>
      <c r="G481" t="e">
        <f>VLOOKUP($F481,RecipeNotes!$A$2:$E$62,3,FALSE)</f>
        <v>#N/A</v>
      </c>
      <c r="H481" t="e">
        <f>VLOOKUP($F481,RecipeNotes!$A$2:$E$62,5,FALSE)</f>
        <v>#N/A</v>
      </c>
    </row>
    <row r="482" spans="1:11" x14ac:dyDescent="0.2">
      <c r="A482" t="s">
        <v>514</v>
      </c>
      <c r="B482">
        <v>876</v>
      </c>
      <c r="C482">
        <v>3938</v>
      </c>
      <c r="D482" t="str">
        <f>VLOOKUP(B482,[1]ManipulationPage!$A$3:$D$541,4,FALSE)</f>
        <v>zzz</v>
      </c>
      <c r="G482" t="e">
        <f>VLOOKUP($F482,RecipeNotes!$A$2:$E$62,3,FALSE)</f>
        <v>#N/A</v>
      </c>
      <c r="H482" t="e">
        <f>VLOOKUP($F482,RecipeNotes!$A$2:$E$62,5,FALSE)</f>
        <v>#N/A</v>
      </c>
    </row>
    <row r="483" spans="1:11" x14ac:dyDescent="0.2">
      <c r="A483" t="s">
        <v>515</v>
      </c>
      <c r="B483">
        <v>591</v>
      </c>
      <c r="D483" t="str">
        <f>VLOOKUP(B483,[1]ManipulationPage!$A$3:$D$541,4,FALSE)</f>
        <v>zzz</v>
      </c>
      <c r="G483" t="e">
        <f>VLOOKUP($F483,RecipeNotes!$A$2:$E$62,3,FALSE)</f>
        <v>#N/A</v>
      </c>
      <c r="H483" t="e">
        <f>VLOOKUP($F483,RecipeNotes!$A$2:$E$62,5,FALSE)</f>
        <v>#N/A</v>
      </c>
    </row>
    <row r="484" spans="1:11" x14ac:dyDescent="0.2">
      <c r="A484" t="s">
        <v>516</v>
      </c>
      <c r="B484">
        <v>588</v>
      </c>
      <c r="C484">
        <v>3275</v>
      </c>
      <c r="D484" t="str">
        <f>VLOOKUP(B484,[1]ManipulationPage!$A$3:$D$541,4,FALSE)</f>
        <v>zzz</v>
      </c>
      <c r="G484" t="e">
        <f>VLOOKUP($F484,RecipeNotes!$A$2:$E$62,3,FALSE)</f>
        <v>#N/A</v>
      </c>
      <c r="H484" t="e">
        <f>VLOOKUP($F484,RecipeNotes!$A$2:$E$62,5,FALSE)</f>
        <v>#N/A</v>
      </c>
      <c r="I484" t="s">
        <v>517</v>
      </c>
    </row>
    <row r="485" spans="1:11" x14ac:dyDescent="0.2">
      <c r="A485" t="s">
        <v>518</v>
      </c>
      <c r="B485">
        <v>215</v>
      </c>
      <c r="C485">
        <v>2174</v>
      </c>
      <c r="D485" t="str">
        <f>VLOOKUP(B485,[1]ManipulationPage!$A$3:$D$541,4,FALSE)</f>
        <v>zzz</v>
      </c>
      <c r="F485" t="s">
        <v>740</v>
      </c>
      <c r="G485" t="str">
        <f>VLOOKUP($F485,RecipeNotes!$A$2:$E$62,3,FALSE)</f>
        <v>Shortcut recipe: Mix and blend all ingredients. Store it in the fridge up to 3 days. Serve the smoothie cold.</v>
      </c>
      <c r="H485" t="str">
        <f>VLOOKUP($F485,RecipeNotes!$A$2:$E$62,5,FALSE)</f>
        <v>Shortcut opskrift: Bland og blend alle ingredienser. Opbevar i køleren op til 3 dage.</v>
      </c>
      <c r="I485" t="s">
        <v>34</v>
      </c>
      <c r="J485" t="s">
        <v>35</v>
      </c>
      <c r="K485" t="s">
        <v>36</v>
      </c>
    </row>
    <row r="486" spans="1:11" x14ac:dyDescent="0.2">
      <c r="A486" t="s">
        <v>519</v>
      </c>
      <c r="B486">
        <v>559</v>
      </c>
      <c r="D486" t="str">
        <f>VLOOKUP(B486,[1]ManipulationPage!$A$3:$D$541,4,FALSE)</f>
        <v>zzz</v>
      </c>
      <c r="G486" t="e">
        <f>VLOOKUP($F486,RecipeNotes!$A$2:$E$62,3,FALSE)</f>
        <v>#N/A</v>
      </c>
      <c r="H486" t="e">
        <f>VLOOKUP($F486,RecipeNotes!$A$2:$E$62,5,FALSE)</f>
        <v>#N/A</v>
      </c>
    </row>
    <row r="487" spans="1:11" x14ac:dyDescent="0.2">
      <c r="A487" t="s">
        <v>536</v>
      </c>
      <c r="B487">
        <v>318</v>
      </c>
      <c r="C487">
        <v>2720</v>
      </c>
      <c r="D487" t="str">
        <f>VLOOKUP(B487,[1]ManipulationPage!$A$3:$D$541,4,FALSE)</f>
        <v>zzz</v>
      </c>
      <c r="G487" t="e">
        <f>VLOOKUP($F487,RecipeNotes!$A$2:$E$62,3,FALSE)</f>
        <v>#N/A</v>
      </c>
      <c r="H487" t="e">
        <f>VLOOKUP($F487,RecipeNotes!$A$2:$E$62,5,FALSE)</f>
        <v>#N/A</v>
      </c>
      <c r="I487" t="s">
        <v>537</v>
      </c>
      <c r="J487" t="s">
        <v>537</v>
      </c>
      <c r="K487" t="s">
        <v>537</v>
      </c>
    </row>
    <row r="488" spans="1:11" x14ac:dyDescent="0.2">
      <c r="A488" t="s">
        <v>548</v>
      </c>
      <c r="B488">
        <v>557</v>
      </c>
      <c r="D488" t="str">
        <f>VLOOKUP(B488,[1]ManipulationPage!$A$3:$D$541,4,FALSE)</f>
        <v>zzz</v>
      </c>
      <c r="G488" t="e">
        <f>VLOOKUP($F488,RecipeNotes!$A$2:$E$62,3,FALSE)</f>
        <v>#N/A</v>
      </c>
      <c r="H488" t="e">
        <f>VLOOKUP($F488,RecipeNotes!$A$2:$E$62,5,FALSE)</f>
        <v>#N/A</v>
      </c>
    </row>
    <row r="489" spans="1:11" x14ac:dyDescent="0.2">
      <c r="A489" t="s">
        <v>549</v>
      </c>
      <c r="B489">
        <v>558</v>
      </c>
      <c r="D489" t="str">
        <f>VLOOKUP(B489,[1]ManipulationPage!$A$3:$D$541,4,FALSE)</f>
        <v>zzz</v>
      </c>
      <c r="G489" t="e">
        <f>VLOOKUP($F489,RecipeNotes!$A$2:$E$62,3,FALSE)</f>
        <v>#N/A</v>
      </c>
      <c r="H489" t="e">
        <f>VLOOKUP($F489,RecipeNotes!$A$2:$E$62,5,FALSE)</f>
        <v>#N/A</v>
      </c>
    </row>
    <row r="490" spans="1:11" x14ac:dyDescent="0.2">
      <c r="A490" t="s">
        <v>561</v>
      </c>
      <c r="B490">
        <v>576</v>
      </c>
      <c r="D490" t="str">
        <f>VLOOKUP(B490,[1]ManipulationPage!$A$3:$D$541,4,FALSE)</f>
        <v>zzz</v>
      </c>
      <c r="G490" t="e">
        <f>VLOOKUP($F490,RecipeNotes!$A$2:$E$62,3,FALSE)</f>
        <v>#N/A</v>
      </c>
      <c r="H490" t="e">
        <f>VLOOKUP($F490,RecipeNotes!$A$2:$E$62,5,FALSE)</f>
        <v>#N/A</v>
      </c>
    </row>
    <row r="491" spans="1:11" x14ac:dyDescent="0.2">
      <c r="A491" t="s">
        <v>578</v>
      </c>
      <c r="B491">
        <v>764</v>
      </c>
      <c r="C491">
        <v>3700</v>
      </c>
      <c r="D491" t="str">
        <f>VLOOKUP(B491,[1]ManipulationPage!$A$3:$D$541,4,FALSE)</f>
        <v>zzz</v>
      </c>
      <c r="F491" t="str">
        <f>RecipeNotes!A3</f>
        <v>With noodles/grains</v>
      </c>
      <c r="G491" t="str">
        <f>VLOOKUP($F491,RecipeNotes!$A$2:$E$62,3,FALSE)</f>
        <v>Shortcut recipe: Fry onions and spices on a pan. Add veggies. Mix with cooked grains/noodles.</v>
      </c>
      <c r="H491" t="str">
        <f>VLOOKUP($F491,RecipeNotes!$A$2:$E$62,5,FALSE)</f>
        <v>Shortcut opskrift: Steg løg og krydderier på panden. Tilføj grøntsager Bland med kogte nudler/bælgfrugter/korn.</v>
      </c>
    </row>
    <row r="492" spans="1:11" x14ac:dyDescent="0.2">
      <c r="A492" t="s">
        <v>579</v>
      </c>
      <c r="B492">
        <v>597</v>
      </c>
      <c r="C492">
        <v>3285</v>
      </c>
      <c r="D492" t="str">
        <f>VLOOKUP(B492,[1]ManipulationPage!$A$3:$D$541,4,FALSE)</f>
        <v>zzz</v>
      </c>
      <c r="F492" t="s">
        <v>1640</v>
      </c>
      <c r="G492" t="str">
        <f>VLOOKUP($F492,RecipeNotes!$A$2:$E$62,3,FALSE)</f>
        <v>Shortcut recipe: Prepare your ingredients seperately and add as layers on the bread.</v>
      </c>
      <c r="H492" t="str">
        <f>VLOOKUP($F492,RecipeNotes!$A$2:$E$62,5,FALSE)</f>
        <v>Shortcut opskrift: Forbered dine ingredienser sperat og put på brøddet i lag.</v>
      </c>
      <c r="I492" t="s">
        <v>580</v>
      </c>
      <c r="J492" t="s">
        <v>581</v>
      </c>
    </row>
    <row r="493" spans="1:11" x14ac:dyDescent="0.2">
      <c r="A493" t="s">
        <v>598</v>
      </c>
      <c r="B493">
        <v>578</v>
      </c>
      <c r="D493" t="str">
        <f>VLOOKUP(B493,[1]ManipulationPage!$A$3:$D$541,4,FALSE)</f>
        <v>zzz</v>
      </c>
      <c r="G493" t="e">
        <f>VLOOKUP($F493,RecipeNotes!$A$2:$E$62,3,FALSE)</f>
        <v>#N/A</v>
      </c>
      <c r="H493" t="e">
        <f>VLOOKUP($F493,RecipeNotes!$A$2:$E$62,5,FALSE)</f>
        <v>#N/A</v>
      </c>
    </row>
    <row r="494" spans="1:11" x14ac:dyDescent="0.2">
      <c r="A494" t="s">
        <v>607</v>
      </c>
      <c r="B494">
        <v>895</v>
      </c>
      <c r="C494">
        <v>3984</v>
      </c>
      <c r="D494" t="str">
        <f>VLOOKUP(B494,[1]ManipulationPage!$A$3:$D$541,4,FALSE)</f>
        <v>zzz</v>
      </c>
      <c r="F494" t="s">
        <v>604</v>
      </c>
      <c r="G494" t="str">
        <f>VLOOKUP($F494,RecipeNotes!$A$2:$E$62,3,FALSE)</f>
        <v>Shortcut recipe: Fry onions and spices on a pan. Mix with cooked pasta, including a cup of the pasta water (for creamy consistency).</v>
      </c>
      <c r="H494" t="str">
        <f>VLOOKUP($F494,RecipeNotes!$A$2:$E$62,5,FALSE)</f>
        <v>Shortcut opskrift: Steg løg og krydderier på panden. Ibland den kogte pasta med en kop pasta vand.</v>
      </c>
    </row>
    <row r="495" spans="1:11" x14ac:dyDescent="0.2">
      <c r="A495" t="s">
        <v>608</v>
      </c>
      <c r="B495">
        <v>218</v>
      </c>
      <c r="C495">
        <v>2192</v>
      </c>
      <c r="D495" t="str">
        <f>VLOOKUP(B495,[1]ManipulationPage!$A$3:$D$541,4,FALSE)</f>
        <v>zzz</v>
      </c>
      <c r="F495" t="s">
        <v>740</v>
      </c>
      <c r="G495" t="str">
        <f>VLOOKUP($F495,RecipeNotes!$A$2:$E$62,3,FALSE)</f>
        <v>Shortcut recipe: Mix and blend all ingredients. Store it in the fridge up to 3 days. Serve the smoothie cold.</v>
      </c>
      <c r="H495" t="str">
        <f>VLOOKUP($F495,RecipeNotes!$A$2:$E$62,5,FALSE)</f>
        <v>Shortcut opskrift: Bland og blend alle ingredienser. Opbevar i køleren op til 3 dage.</v>
      </c>
      <c r="I495" t="s">
        <v>34</v>
      </c>
      <c r="J495" t="s">
        <v>35</v>
      </c>
      <c r="K495" t="s">
        <v>36</v>
      </c>
    </row>
    <row r="496" spans="1:11" x14ac:dyDescent="0.2">
      <c r="A496" t="s">
        <v>616</v>
      </c>
      <c r="B496">
        <v>172</v>
      </c>
      <c r="C496">
        <v>1912</v>
      </c>
      <c r="D496" t="str">
        <f>VLOOKUP(B496,[1]ManipulationPage!$A$3:$D$541,4,FALSE)</f>
        <v>zzz</v>
      </c>
      <c r="F496" t="s">
        <v>740</v>
      </c>
      <c r="G496" t="str">
        <f>VLOOKUP($F496,RecipeNotes!$A$2:$E$62,3,FALSE)</f>
        <v>Shortcut recipe: Mix and blend all ingredients. Store it in the fridge up to 3 days. Serve the smoothie cold.</v>
      </c>
      <c r="H496" t="str">
        <f>VLOOKUP($F496,RecipeNotes!$A$2:$E$62,5,FALSE)</f>
        <v>Shortcut opskrift: Bland og blend alle ingredienser. Opbevar i køleren op til 3 dage.</v>
      </c>
      <c r="I496" t="s">
        <v>34</v>
      </c>
      <c r="J496" t="s">
        <v>35</v>
      </c>
      <c r="K496" t="s">
        <v>36</v>
      </c>
    </row>
    <row r="497" spans="1:13" x14ac:dyDescent="0.2">
      <c r="A497" t="s">
        <v>625</v>
      </c>
      <c r="B497">
        <v>796</v>
      </c>
      <c r="D497" t="str">
        <f>VLOOKUP(B497,[1]ManipulationPage!$A$3:$D$541,4,FALSE)</f>
        <v>zzz</v>
      </c>
      <c r="G497" t="e">
        <f>VLOOKUP($F497,RecipeNotes!$A$2:$E$62,3,FALSE)</f>
        <v>#N/A</v>
      </c>
      <c r="H497" t="e">
        <f>VLOOKUP($F497,RecipeNotes!$A$2:$E$62,5,FALSE)</f>
        <v>#N/A</v>
      </c>
    </row>
    <row r="498" spans="1:13" x14ac:dyDescent="0.2">
      <c r="A498" t="s">
        <v>636</v>
      </c>
      <c r="B498">
        <v>290</v>
      </c>
      <c r="C498">
        <v>2614</v>
      </c>
      <c r="D498" t="str">
        <f>VLOOKUP(B498,[1]ManipulationPage!$A$3:$D$541,4,FALSE)</f>
        <v>zzz</v>
      </c>
      <c r="F498" t="s">
        <v>545</v>
      </c>
      <c r="G498" t="str">
        <f>VLOOKUP($F498,RecipeNotes!$A$2:$E$62,3,FALSE)</f>
        <v>Shortcut recipe: Alternate between layers of thin-sliced veggies and sauce. Bake in the oven for 30+ minutes (180 degrees).</v>
      </c>
      <c r="H498" t="str">
        <f>VLOOKUP($F498,RecipeNotes!$A$2:$E$62,5,FALSE)</f>
        <v>Shortcut opskrift: Skift mellem lag a tyndt skårne grøntsager og din sovs. Bag i ovnen i +30 minutter ved 180 grader.</v>
      </c>
      <c r="I498" t="s">
        <v>199</v>
      </c>
      <c r="J498" t="s">
        <v>200</v>
      </c>
      <c r="K498" t="s">
        <v>201</v>
      </c>
    </row>
    <row r="499" spans="1:13" x14ac:dyDescent="0.2">
      <c r="A499" t="s">
        <v>638</v>
      </c>
      <c r="B499">
        <v>581</v>
      </c>
      <c r="D499" t="str">
        <f>VLOOKUP(B499,[1]ManipulationPage!$A$3:$D$541,4,FALSE)</f>
        <v>zzz</v>
      </c>
      <c r="G499" t="e">
        <f>VLOOKUP($F499,RecipeNotes!$A$2:$E$62,3,FALSE)</f>
        <v>#N/A</v>
      </c>
      <c r="H499" t="e">
        <f>VLOOKUP($F499,RecipeNotes!$A$2:$E$62,5,FALSE)</f>
        <v>#N/A</v>
      </c>
    </row>
    <row r="500" spans="1:13" x14ac:dyDescent="0.2">
      <c r="A500" t="s">
        <v>640</v>
      </c>
      <c r="B500">
        <v>830</v>
      </c>
      <c r="C500">
        <v>3839</v>
      </c>
      <c r="D500" t="str">
        <f>VLOOKUP(B500,[1]ManipulationPage!$A$3:$D$541,4,FALSE)</f>
        <v>zzz</v>
      </c>
      <c r="G500" t="e">
        <f>VLOOKUP($F500,RecipeNotes!$A$2:$E$62,3,FALSE)</f>
        <v>#N/A</v>
      </c>
      <c r="H500" t="e">
        <f>VLOOKUP($F500,RecipeNotes!$A$2:$E$62,5,FALSE)</f>
        <v>#N/A</v>
      </c>
      <c r="I500" t="s">
        <v>641</v>
      </c>
    </row>
    <row r="501" spans="1:13" x14ac:dyDescent="0.2">
      <c r="A501" t="s">
        <v>642</v>
      </c>
      <c r="B501">
        <v>538</v>
      </c>
      <c r="D501" t="str">
        <f>VLOOKUP(B501,[1]ManipulationPage!$A$3:$D$541,4,FALSE)</f>
        <v>zzz</v>
      </c>
      <c r="G501" t="e">
        <f>VLOOKUP($F501,RecipeNotes!$A$2:$E$62,3,FALSE)</f>
        <v>#N/A</v>
      </c>
      <c r="H501" t="e">
        <f>VLOOKUP($F501,RecipeNotes!$A$2:$E$62,5,FALSE)</f>
        <v>#N/A</v>
      </c>
    </row>
    <row r="502" spans="1:13" x14ac:dyDescent="0.2">
      <c r="A502" t="s">
        <v>646</v>
      </c>
      <c r="B502">
        <v>191</v>
      </c>
      <c r="C502">
        <v>2020</v>
      </c>
      <c r="D502" t="str">
        <f>VLOOKUP(B502,[1]ManipulationPage!$A$3:$D$541,4,FALSE)</f>
        <v>zzz</v>
      </c>
      <c r="F502" t="s">
        <v>354</v>
      </c>
      <c r="G502" t="str">
        <f>VLOOKUP($F502,RecipeNotes!$A$2:$E$62,3,FALSE)</f>
        <v>Shortcut recipe: Cook then mash with a blender or fork. Taste and balance with salt, sugar, sour, and umami.</v>
      </c>
      <c r="H502" t="str">
        <f>VLOOKUP($F502,RecipeNotes!$A$2:$E$62,5,FALSE)</f>
        <v>Shortcut opskrift: Kog og blend derefter med en gaffel eller blender. Smag til med salt, sukker, syre og umami.</v>
      </c>
      <c r="I502" t="s">
        <v>79</v>
      </c>
      <c r="J502" t="s">
        <v>80</v>
      </c>
      <c r="K502" t="s">
        <v>81</v>
      </c>
    </row>
    <row r="503" spans="1:13" x14ac:dyDescent="0.2">
      <c r="A503" t="s">
        <v>652</v>
      </c>
      <c r="B503">
        <v>670</v>
      </c>
      <c r="C503">
        <v>3499</v>
      </c>
      <c r="D503" t="str">
        <f>VLOOKUP(B503,[1]ManipulationPage!$A$3:$D$541,4,FALSE)</f>
        <v>zzz</v>
      </c>
      <c r="G503" t="e">
        <f>VLOOKUP($F503,RecipeNotes!$A$2:$E$62,3,FALSE)</f>
        <v>#N/A</v>
      </c>
      <c r="H503" t="e">
        <f>VLOOKUP($F503,RecipeNotes!$A$2:$E$62,5,FALSE)</f>
        <v>#N/A</v>
      </c>
    </row>
    <row r="504" spans="1:13" x14ac:dyDescent="0.2">
      <c r="A504" t="s">
        <v>656</v>
      </c>
      <c r="B504">
        <v>343</v>
      </c>
      <c r="C504">
        <v>2818</v>
      </c>
      <c r="D504" t="str">
        <f>VLOOKUP(B504,[1]ManipulationPage!$A$3:$D$541,4,FALSE)</f>
        <v>zzz</v>
      </c>
      <c r="G504" t="e">
        <f>VLOOKUP($F504,RecipeNotes!$A$2:$E$62,3,FALSE)</f>
        <v>#N/A</v>
      </c>
      <c r="H504" t="e">
        <f>VLOOKUP($F504,RecipeNotes!$A$2:$E$62,5,FALSE)</f>
        <v>#N/A</v>
      </c>
      <c r="I504" t="s">
        <v>657</v>
      </c>
      <c r="J504" t="s">
        <v>658</v>
      </c>
      <c r="K504" t="s">
        <v>659</v>
      </c>
    </row>
    <row r="505" spans="1:13" x14ac:dyDescent="0.2">
      <c r="A505" t="s">
        <v>694</v>
      </c>
      <c r="B505">
        <v>443</v>
      </c>
      <c r="C505">
        <v>3059</v>
      </c>
      <c r="D505" t="str">
        <f>VLOOKUP(B505,[1]ManipulationPage!$A$3:$D$541,4,FALSE)</f>
        <v>zzz</v>
      </c>
      <c r="G505" t="e">
        <f>VLOOKUP($F505,RecipeNotes!$A$2:$E$62,3,FALSE)</f>
        <v>#N/A</v>
      </c>
      <c r="H505" t="e">
        <f>VLOOKUP($F505,RecipeNotes!$A$2:$E$62,5,FALSE)</f>
        <v>#N/A</v>
      </c>
      <c r="I505" t="s">
        <v>407</v>
      </c>
      <c r="J505" t="s">
        <v>408</v>
      </c>
      <c r="K505" t="s">
        <v>407</v>
      </c>
    </row>
    <row r="506" spans="1:13" x14ac:dyDescent="0.2">
      <c r="A506" t="s">
        <v>700</v>
      </c>
      <c r="B506">
        <v>100</v>
      </c>
      <c r="C506">
        <v>1471</v>
      </c>
      <c r="D506" t="str">
        <f>VLOOKUP(B506,[1]ManipulationPage!$A$3:$D$541,4,FALSE)</f>
        <v>zzz</v>
      </c>
      <c r="F506" t="s">
        <v>1634</v>
      </c>
      <c r="G506" t="str">
        <f>VLOOKUP($F506,RecipeNotes!$A$2:$E$62,3,FALSE)</f>
        <v>Shortcut recipe: Mix ingredients and stir around with a fork.</v>
      </c>
      <c r="H506" t="str">
        <f>VLOOKUP($F506,RecipeNotes!$A$2:$E$62,5,FALSE)</f>
        <v>Shortcut opskrift: Bland ingredienser og rør rundt med en gaffel.</v>
      </c>
      <c r="I506" t="s">
        <v>701</v>
      </c>
      <c r="J506" t="s">
        <v>702</v>
      </c>
      <c r="K506" t="s">
        <v>703</v>
      </c>
    </row>
    <row r="507" spans="1:13" x14ac:dyDescent="0.2">
      <c r="A507" t="s">
        <v>704</v>
      </c>
      <c r="B507">
        <v>773</v>
      </c>
      <c r="C507">
        <v>3718</v>
      </c>
      <c r="D507" t="str">
        <f>VLOOKUP(B507,[1]ManipulationPage!$A$3:$D$541,4,FALSE)</f>
        <v>zzz</v>
      </c>
      <c r="F507" t="s">
        <v>192</v>
      </c>
      <c r="G507" t="str">
        <f>VLOOKUP($F507,RecipeNotes!$A$2:$E$62,3,FALSE)</f>
        <v>Shortcut recipe: Put a layer of cooked grains on-top of your sauce. Bake in the oven for 30+ minutes (180 degrees)</v>
      </c>
      <c r="H507" t="str">
        <f>VLOOKUP($F507,RecipeNotes!$A$2:$E$62,5,FALSE)</f>
        <v>Shortcut opskrift: Put et lag af dine kogte korn på toppen. Bag i ovnen i +30 minutter ved 180 grader.</v>
      </c>
    </row>
    <row r="508" spans="1:13" x14ac:dyDescent="0.2">
      <c r="A508" t="s">
        <v>708</v>
      </c>
      <c r="B508">
        <v>1087</v>
      </c>
      <c r="C508">
        <v>9023</v>
      </c>
      <c r="D508" t="str">
        <f>VLOOKUP(B508,[1]ManipulationPage!$A$3:$D$541,4,FALSE)</f>
        <v>zzz</v>
      </c>
      <c r="F508" t="s">
        <v>597</v>
      </c>
      <c r="G508" t="str">
        <f>VLOOKUP($F508,RecipeNotes!$A$2:$E$62,3,FALSE)</f>
        <v>Shortcut recipe: Mix ingredients gently in a bowl. Heat a pan with oil or butter. Add in thin layers. 2 minutes per side.</v>
      </c>
      <c r="H508" t="str">
        <f>VLOOKUP($F508,RecipeNotes!$A$2:$E$62,5,FALSE)</f>
        <v>Shortcut opskrift: Bland ingredienserne nænsomt i en skål. Varn en pande med olie/smør og tilføj dejen i små lag. 2 minutter per side.</v>
      </c>
    </row>
    <row r="509" spans="1:13" x14ac:dyDescent="0.2">
      <c r="A509" t="s">
        <v>720</v>
      </c>
      <c r="B509">
        <v>1054</v>
      </c>
      <c r="C509">
        <v>7299</v>
      </c>
      <c r="D509" t="str">
        <f>VLOOKUP(B509,[1]ManipulationPage!$A$3:$D$541,4,FALSE)</f>
        <v>zzz</v>
      </c>
      <c r="F509" t="s">
        <v>155</v>
      </c>
      <c r="G509" t="str">
        <f>VLOOKUP($F509,RecipeNotes!$A$2:$E$62,3,FALSE)</f>
        <v>Shortcut recipe: Fry onions and spices on a pan. Add veggies. Taste and balance with salt, sugar, sour, and umami. Add all in the burritos. Enjoy</v>
      </c>
      <c r="H509" t="str">
        <f>VLOOKUP($F509,RecipeNotes!$A$2:$E$62,5,FALSE)</f>
        <v>Shortcut opskrift: Steg løg og krydderier på panden. Tilføj grøntsager Smag til med salt, sukker, syre og umami. Tilføj alt i dine burritos.</v>
      </c>
      <c r="I509" t="s">
        <v>156</v>
      </c>
      <c r="J509" t="s">
        <v>157</v>
      </c>
      <c r="K509" t="s">
        <v>158</v>
      </c>
      <c r="M509" t="s">
        <v>159</v>
      </c>
    </row>
    <row r="510" spans="1:13" x14ac:dyDescent="0.2">
      <c r="A510" t="s">
        <v>721</v>
      </c>
      <c r="B510">
        <v>1057</v>
      </c>
      <c r="C510">
        <v>7390</v>
      </c>
      <c r="D510" t="str">
        <f>VLOOKUP(B510,[1]ManipulationPage!$A$3:$D$541,4,FALSE)</f>
        <v>zzz</v>
      </c>
      <c r="F510" t="s">
        <v>487</v>
      </c>
      <c r="G510" t="str">
        <f>VLOOKUP($F510,RecipeNotes!$A$2:$E$62,3,FALSE)</f>
        <v>Shortcut recipe: Alternate between layers of pasta and sauce. Bake in the oven for 30+ minutes (180 degrees).</v>
      </c>
      <c r="H510" t="str">
        <f>VLOOKUP($F510,RecipeNotes!$A$2:$E$62,5,FALSE)</f>
        <v>Shortcut opskrift: Skift mellem lag a pasta og din sovs. Bag i ovnen i +30 minutter ved 180 grader.</v>
      </c>
      <c r="I510" t="s">
        <v>271</v>
      </c>
      <c r="J510" t="s">
        <v>272</v>
      </c>
      <c r="K510" t="s">
        <v>273</v>
      </c>
      <c r="L510" t="s">
        <v>488</v>
      </c>
      <c r="M510" t="s">
        <v>489</v>
      </c>
    </row>
    <row r="511" spans="1:13" x14ac:dyDescent="0.2">
      <c r="A511" t="s">
        <v>722</v>
      </c>
      <c r="B511">
        <v>1055</v>
      </c>
      <c r="C511">
        <v>7344</v>
      </c>
      <c r="D511" t="str">
        <f>VLOOKUP(B511,[1]ManipulationPage!$A$3:$D$541,4,FALSE)</f>
        <v>zzz</v>
      </c>
      <c r="F511" t="s">
        <v>770</v>
      </c>
      <c r="G511" t="str">
        <f>VLOOKUP($F511,RecipeNotes!$A$2:$E$62,3,FALSE)</f>
        <v xml:space="preserve">Shortcut recipe: Fry onions and spices on a pan. Add veggies. Add water with stock/broth. Taste and balance with salt, sugar, sour, and umami.  </v>
      </c>
      <c r="H511" t="str">
        <f>VLOOKUP($F511,RecipeNotes!$A$2:$E$62,5,FALSE)</f>
        <v xml:space="preserve">Shortcut opskrift: Steg løg og krydderier på panden. Tilføj grøntsager Til føj vand med buillon. Smag til med salt, sukker, syre og umami.  </v>
      </c>
      <c r="I511" t="s">
        <v>113</v>
      </c>
      <c r="J511" t="s">
        <v>114</v>
      </c>
      <c r="K511" t="s">
        <v>115</v>
      </c>
      <c r="L511" t="s">
        <v>723</v>
      </c>
      <c r="M511" t="s">
        <v>117</v>
      </c>
    </row>
    <row r="512" spans="1:13" x14ac:dyDescent="0.2">
      <c r="A512" t="s">
        <v>724</v>
      </c>
      <c r="B512">
        <v>1053</v>
      </c>
      <c r="C512">
        <v>7281</v>
      </c>
      <c r="D512" t="str">
        <f>VLOOKUP(B512,[1]ManipulationPage!$A$3:$D$541,4,FALSE)</f>
        <v>zzz</v>
      </c>
      <c r="F512" t="s">
        <v>618</v>
      </c>
      <c r="G512" t="str">
        <f>VLOOKUP($F512,RecipeNotes!$A$2:$E$62,3,FALSE)</f>
        <v>Shortcut recipe: Make your suco of fried onions, spices, and your choice of paste. Add to pizza with your choice of veggies.</v>
      </c>
      <c r="H512" t="str">
        <f>VLOOKUP($F512,RecipeNotes!$A$2:$E$62,5,FALSE)</f>
        <v>Shortcut opskrift: Smør din pizza sauce i tyndt lag (lavet af løg, krydderier og din sauce stegt på en pande). Tilføj dine grøntsager på toppen.</v>
      </c>
      <c r="I512" t="s">
        <v>13</v>
      </c>
      <c r="J512" t="s">
        <v>14</v>
      </c>
      <c r="K512" t="s">
        <v>15</v>
      </c>
      <c r="L512" t="s">
        <v>619</v>
      </c>
      <c r="M512" t="s">
        <v>620</v>
      </c>
    </row>
    <row r="513" spans="1:11" x14ac:dyDescent="0.2">
      <c r="A513" t="s">
        <v>735</v>
      </c>
      <c r="B513">
        <v>1048</v>
      </c>
      <c r="C513">
        <v>6752</v>
      </c>
      <c r="D513" t="str">
        <f>VLOOKUP(B513,[1]ManipulationPage!$A$3:$D$541,4,FALSE)</f>
        <v>zzz</v>
      </c>
      <c r="F513" t="s">
        <v>1548</v>
      </c>
      <c r="G513" t="str">
        <f>VLOOKUP($F513,RecipeNotes!$A$2:$E$62,3,FALSE)</f>
        <v>Shortcut recipe: Mash ingredients with a fork or a blender. Shape patties in your hands and fry them on a pan with oil (5 minutes on each side).</v>
      </c>
      <c r="H513" t="str">
        <f>VLOOKUP($F513,RecipeNotes!$A$2:$E$62,5,FALSE)</f>
        <v>Shortcut opskrift: Blend ingredienser med en gaffel eller blender. Form bøfferne i dine hænder og steg dem (5-10 minutter per side).</v>
      </c>
      <c r="I513" t="s">
        <v>91</v>
      </c>
      <c r="J513" t="s">
        <v>92</v>
      </c>
      <c r="K513" t="s">
        <v>93</v>
      </c>
    </row>
    <row r="514" spans="1:11" x14ac:dyDescent="0.2">
      <c r="A514" t="s">
        <v>754</v>
      </c>
      <c r="B514">
        <v>275</v>
      </c>
      <c r="C514">
        <v>2520</v>
      </c>
      <c r="D514" t="str">
        <f>VLOOKUP(B514,[1]ManipulationPage!$A$3:$D$541,4,FALSE)</f>
        <v>zzz</v>
      </c>
      <c r="G514" t="e">
        <f>VLOOKUP($F514,RecipeNotes!$A$2:$E$62,3,FALSE)</f>
        <v>#N/A</v>
      </c>
      <c r="H514" t="e">
        <f>VLOOKUP($F514,RecipeNotes!$A$2:$E$62,5,FALSE)</f>
        <v>#N/A</v>
      </c>
      <c r="I514" t="s">
        <v>423</v>
      </c>
      <c r="J514" t="s">
        <v>424</v>
      </c>
      <c r="K514" t="s">
        <v>425</v>
      </c>
    </row>
    <row r="515" spans="1:11" x14ac:dyDescent="0.2">
      <c r="A515" t="s">
        <v>756</v>
      </c>
      <c r="B515">
        <v>97</v>
      </c>
      <c r="C515">
        <v>1449</v>
      </c>
      <c r="D515" t="str">
        <f>VLOOKUP(B515,[1]ManipulationPage!$A$3:$D$541,4,FALSE)</f>
        <v>zzz</v>
      </c>
      <c r="F515" t="s">
        <v>1634</v>
      </c>
      <c r="G515" t="str">
        <f>VLOOKUP($F515,RecipeNotes!$A$2:$E$62,3,FALSE)</f>
        <v>Shortcut recipe: Mix ingredients and stir around with a fork.</v>
      </c>
      <c r="H515" t="str">
        <f>VLOOKUP($F515,RecipeNotes!$A$2:$E$62,5,FALSE)</f>
        <v>Shortcut opskrift: Bland ingredienser og rør rundt med en gaffel.</v>
      </c>
      <c r="I515" t="s">
        <v>757</v>
      </c>
      <c r="J515" t="s">
        <v>757</v>
      </c>
      <c r="K515" t="s">
        <v>758</v>
      </c>
    </row>
    <row r="516" spans="1:11" x14ac:dyDescent="0.2">
      <c r="A516" t="s">
        <v>759</v>
      </c>
      <c r="B516">
        <v>537</v>
      </c>
      <c r="D516" t="str">
        <f>VLOOKUP(B516,[1]ManipulationPage!$A$3:$D$541,4,FALSE)</f>
        <v>zzz</v>
      </c>
      <c r="F516" t="s">
        <v>1640</v>
      </c>
      <c r="G516" t="str">
        <f>VLOOKUP($F516,RecipeNotes!$A$2:$E$62,3,FALSE)</f>
        <v>Shortcut recipe: Prepare your ingredients seperately and add as layers on the bread.</v>
      </c>
      <c r="H516" t="str">
        <f>VLOOKUP($F516,RecipeNotes!$A$2:$E$62,5,FALSE)</f>
        <v>Shortcut opskrift: Forbered dine ingredienser sperat og put på brøddet i lag.</v>
      </c>
    </row>
    <row r="517" spans="1:11" x14ac:dyDescent="0.2">
      <c r="A517" t="s">
        <v>764</v>
      </c>
      <c r="B517">
        <v>768</v>
      </c>
      <c r="C517">
        <v>3708</v>
      </c>
      <c r="D517" t="str">
        <f>VLOOKUP(B517,[1]ManipulationPage!$A$3:$D$541,4,FALSE)</f>
        <v>zzz</v>
      </c>
      <c r="G517" t="e">
        <f>VLOOKUP($F517,RecipeNotes!$A$2:$E$62,3,FALSE)</f>
        <v>#N/A</v>
      </c>
      <c r="H517" t="e">
        <f>VLOOKUP($F517,RecipeNotes!$A$2:$E$62,5,FALSE)</f>
        <v>#N/A</v>
      </c>
    </row>
    <row r="518" spans="1:11" x14ac:dyDescent="0.2">
      <c r="A518" t="s">
        <v>807</v>
      </c>
      <c r="B518">
        <v>1086</v>
      </c>
      <c r="C518">
        <v>9011</v>
      </c>
      <c r="D518" t="str">
        <f>VLOOKUP(B518,[1]ManipulationPage!$A$3:$D$541,4,FALSE)</f>
        <v>zzz</v>
      </c>
      <c r="F518" t="s">
        <v>597</v>
      </c>
      <c r="G518" t="str">
        <f>VLOOKUP($F518,RecipeNotes!$A$2:$E$62,3,FALSE)</f>
        <v>Shortcut recipe: Mix ingredients gently in a bowl. Heat a pan with oil or butter. Add in thin layers. 2 minutes per side.</v>
      </c>
      <c r="H518" t="str">
        <f>VLOOKUP($F518,RecipeNotes!$A$2:$E$62,5,FALSE)</f>
        <v>Shortcut opskrift: Bland ingredienserne nænsomt i en skål. Varn en pande med olie/smør og tilføj dejen i små lag. 2 minutter per side.</v>
      </c>
    </row>
    <row r="519" spans="1:11" x14ac:dyDescent="0.2">
      <c r="A519" t="s">
        <v>821</v>
      </c>
      <c r="B519">
        <v>656</v>
      </c>
      <c r="C519">
        <v>3463</v>
      </c>
      <c r="D519" t="str">
        <f>VLOOKUP(B519,[1]ManipulationPage!$A$3:$D$541,4,FALSE)</f>
        <v>zzz</v>
      </c>
      <c r="G519" t="e">
        <f>VLOOKUP($F519,RecipeNotes!$A$2:$E$62,3,FALSE)</f>
        <v>#N/A</v>
      </c>
      <c r="H519" t="e">
        <f>VLOOKUP($F519,RecipeNotes!$A$2:$E$62,5,FALSE)</f>
        <v>#N/A</v>
      </c>
    </row>
    <row r="520" spans="1:11" x14ac:dyDescent="0.2">
      <c r="A520" t="s">
        <v>833</v>
      </c>
      <c r="B520">
        <v>590</v>
      </c>
      <c r="D520" t="str">
        <f>VLOOKUP(B520,[1]ManipulationPage!$A$3:$D$541,4,FALSE)</f>
        <v>zzz</v>
      </c>
      <c r="F520" t="s">
        <v>1633</v>
      </c>
      <c r="G520" t="str">
        <f>VLOOKUP($F520,RecipeNotes!$A$2:$E$62,3,FALSE)</f>
        <v>Shortcut recipe: Fry onions and spices on a pan. Add veggies. Taste and balance with salt, sugar, sour, and umami.</v>
      </c>
      <c r="H520" t="str">
        <f>VLOOKUP($F520,RecipeNotes!$A$2:$E$62,5,FALSE)</f>
        <v>Shortcut opskrift: Steg løg og krydderier på panden. Tilføj grøntsager Smag til med salt, sukker, syre og umami.</v>
      </c>
    </row>
    <row r="521" spans="1:11" x14ac:dyDescent="0.2">
      <c r="A521" t="s">
        <v>834</v>
      </c>
      <c r="B521">
        <v>344</v>
      </c>
      <c r="C521">
        <v>2824</v>
      </c>
      <c r="D521" t="str">
        <f>VLOOKUP(B521,[1]ManipulationPage!$A$3:$D$541,4,FALSE)</f>
        <v>zzz</v>
      </c>
      <c r="F521" t="str">
        <f>RecipeNotes!A56</f>
        <v>Stuffed Veggie</v>
      </c>
      <c r="G521" t="str">
        <f>VLOOKUP($F521,RecipeNotes!$A$2:$E$62,3,FALSE)</f>
        <v>Shortcut recipe: Fry onions and spices on a pan. Put all veggies and condiments into the veggie and roast it all in the oven for 20-30 minutes or until tender.</v>
      </c>
      <c r="H521" t="str">
        <f>VLOOKUP($F521,RecipeNotes!$A$2:$E$62,5,FALSE)</f>
        <v>Shortcut opskrift: Steg løg og krydderier på panden. Put all grøntsager og krydderier ind i beholderen og bag i ovnen i 20-30 minutter.</v>
      </c>
      <c r="I521" t="s">
        <v>835</v>
      </c>
      <c r="J521" t="s">
        <v>835</v>
      </c>
      <c r="K521" t="s">
        <v>836</v>
      </c>
    </row>
    <row r="522" spans="1:11" x14ac:dyDescent="0.2">
      <c r="A522" t="s">
        <v>837</v>
      </c>
      <c r="B522">
        <v>228</v>
      </c>
      <c r="C522">
        <v>2246</v>
      </c>
      <c r="D522" t="str">
        <f>VLOOKUP(B522,[1]ManipulationPage!$A$3:$D$541,4,FALSE)</f>
        <v>zzz</v>
      </c>
      <c r="F522" t="s">
        <v>354</v>
      </c>
      <c r="G522" t="str">
        <f>VLOOKUP($F522,RecipeNotes!$A$2:$E$62,3,FALSE)</f>
        <v>Shortcut recipe: Cook then mash with a blender or fork. Taste and balance with salt, sugar, sour, and umami.</v>
      </c>
      <c r="H522" t="str">
        <f>VLOOKUP($F522,RecipeNotes!$A$2:$E$62,5,FALSE)</f>
        <v>Shortcut opskrift: Kog og blend derefter med en gaffel eller blender. Smag til med salt, sukker, syre og umami.</v>
      </c>
      <c r="I522" t="s">
        <v>838</v>
      </c>
      <c r="J522" t="s">
        <v>838</v>
      </c>
      <c r="K522" t="s">
        <v>838</v>
      </c>
    </row>
    <row r="523" spans="1:11" x14ac:dyDescent="0.2">
      <c r="A523" t="s">
        <v>839</v>
      </c>
      <c r="B523">
        <v>229</v>
      </c>
      <c r="C523">
        <v>2252</v>
      </c>
      <c r="D523" t="str">
        <f>VLOOKUP(B523,[1]ManipulationPage!$A$3:$D$541,4,FALSE)</f>
        <v>zzz</v>
      </c>
      <c r="F523" t="s">
        <v>354</v>
      </c>
      <c r="G523" t="str">
        <f>VLOOKUP($F523,RecipeNotes!$A$2:$E$62,3,FALSE)</f>
        <v>Shortcut recipe: Cook then mash with a blender or fork. Taste and balance with salt, sugar, sour, and umami.</v>
      </c>
      <c r="H523" t="str">
        <f>VLOOKUP($F523,RecipeNotes!$A$2:$E$62,5,FALSE)</f>
        <v>Shortcut opskrift: Kog og blend derefter med en gaffel eller blender. Smag til med salt, sukker, syre og umami.</v>
      </c>
      <c r="I523" t="s">
        <v>79</v>
      </c>
      <c r="J523" t="s">
        <v>80</v>
      </c>
      <c r="K523" t="s">
        <v>81</v>
      </c>
    </row>
    <row r="524" spans="1:11" x14ac:dyDescent="0.2">
      <c r="A524" t="s">
        <v>840</v>
      </c>
      <c r="B524">
        <v>157</v>
      </c>
      <c r="C524">
        <v>1827</v>
      </c>
      <c r="D524" t="str">
        <f>VLOOKUP(B524,[1]ManipulationPage!$A$3:$D$541,4,FALSE)</f>
        <v>zzz</v>
      </c>
      <c r="F524" t="s">
        <v>119</v>
      </c>
      <c r="G524" t="str">
        <f>VLOOKUP($F524,RecipeNotes!$A$2:$E$62,3,FALSE)</f>
        <v>Shortcut recipe: Fry onions and spices on a pan. Add the beets Add water with stock/broth. Blend the soup. Taste and balance with salt, sugar, sour, and umami.</v>
      </c>
      <c r="H524" t="str">
        <f>VLOOKUP($F524,RecipeNotes!$A$2:$E$62,5,FALSE)</f>
        <v>Shortcut opskrift: Steg løg og krydderier på panden. Tilføj rødbederne. Til føj vand med buillon. Blend suppen. Smag til med salt, sukker, syre og umami.</v>
      </c>
      <c r="I524" t="s">
        <v>120</v>
      </c>
      <c r="J524" t="s">
        <v>121</v>
      </c>
      <c r="K524" t="s">
        <v>122</v>
      </c>
    </row>
    <row r="525" spans="1:11" x14ac:dyDescent="0.2">
      <c r="A525" t="s">
        <v>841</v>
      </c>
      <c r="B525">
        <v>230</v>
      </c>
      <c r="C525">
        <v>2258</v>
      </c>
      <c r="D525" t="str">
        <f>VLOOKUP(B525,[1]ManipulationPage!$A$3:$D$541,4,FALSE)</f>
        <v>zzz</v>
      </c>
      <c r="F525" t="s">
        <v>1546</v>
      </c>
      <c r="G525" t="str">
        <f>VLOOKUP($F525,RecipeNotes!$A$2:$E$62,3,FALSE)</f>
        <v>Shortcut recipe: Fry onions and spices on a pan. Add veggies. Add water with stock/broth. Blend the soup. Taste and balance with salt, sugar, sour, and umami.</v>
      </c>
      <c r="H525" t="str">
        <f>VLOOKUP($F525,RecipeNotes!$A$2:$E$62,5,FALSE)</f>
        <v>Shortcut opskrift: Steg løg og krydderier på panden. Tilføj grøntsager Til føj vand med buillon. Blend suppen. Smag til med salt, sukker, syre og umami.</v>
      </c>
      <c r="I525" t="s">
        <v>253</v>
      </c>
      <c r="J525" t="s">
        <v>254</v>
      </c>
      <c r="K525" t="s">
        <v>255</v>
      </c>
    </row>
    <row r="526" spans="1:11" x14ac:dyDescent="0.2">
      <c r="A526" t="s">
        <v>842</v>
      </c>
      <c r="B526">
        <v>159</v>
      </c>
      <c r="C526">
        <v>1841</v>
      </c>
      <c r="D526" t="str">
        <f>VLOOKUP(B526,[1]ManipulationPage!$A$3:$D$541,4,FALSE)</f>
        <v>zzz</v>
      </c>
      <c r="F526" t="s">
        <v>1546</v>
      </c>
      <c r="G526" t="str">
        <f>VLOOKUP($F526,RecipeNotes!$A$2:$E$62,3,FALSE)</f>
        <v>Shortcut recipe: Fry onions and spices on a pan. Add veggies. Add water with stock/broth. Blend the soup. Taste and balance with salt, sugar, sour, and umami.</v>
      </c>
      <c r="H526" t="str">
        <f>VLOOKUP($F526,RecipeNotes!$A$2:$E$62,5,FALSE)</f>
        <v>Shortcut opskrift: Steg løg og krydderier på panden. Tilføj grøntsager Til føj vand med buillon. Blend suppen. Smag til med salt, sukker, syre og umami.</v>
      </c>
      <c r="I526" t="s">
        <v>253</v>
      </c>
      <c r="J526" t="s">
        <v>254</v>
      </c>
      <c r="K526" t="s">
        <v>255</v>
      </c>
    </row>
    <row r="527" spans="1:11" x14ac:dyDescent="0.2">
      <c r="A527" t="s">
        <v>843</v>
      </c>
      <c r="B527">
        <v>158</v>
      </c>
      <c r="C527">
        <v>1835</v>
      </c>
      <c r="D527" t="str">
        <f>VLOOKUP(B527,[1]ManipulationPage!$A$3:$D$541,4,FALSE)</f>
        <v>zzz</v>
      </c>
      <c r="F527" t="s">
        <v>1648</v>
      </c>
      <c r="G527" t="str">
        <f>VLOOKUP($F527,RecipeNotes!$A$2:$E$62,3,FALSE)</f>
        <v xml:space="preserve">Shortcut recipe: Fry onions and spices on a pan. Add veggies. Add water with stock/broth. Taste and balance with salt, sugar, sour, and umami.  </v>
      </c>
      <c r="H527" t="str">
        <f>VLOOKUP($F527,RecipeNotes!$A$2:$E$62,5,FALSE)</f>
        <v xml:space="preserve">Shortcut opskrift: Steg løg og krydderier på panden. Tilføj grøntsager Til føj vand med buillon. Smag til med salt, sukker, syre og umami.  </v>
      </c>
      <c r="I527" t="s">
        <v>844</v>
      </c>
      <c r="J527" t="s">
        <v>845</v>
      </c>
      <c r="K527" t="s">
        <v>846</v>
      </c>
    </row>
    <row r="528" spans="1:11" x14ac:dyDescent="0.2">
      <c r="A528" t="s">
        <v>847</v>
      </c>
      <c r="B528">
        <v>246</v>
      </c>
      <c r="C528">
        <v>2348</v>
      </c>
      <c r="D528" t="str">
        <f>VLOOKUP(B528,[1]ManipulationPage!$A$3:$D$541,4,FALSE)</f>
        <v>zzz</v>
      </c>
      <c r="F528" t="s">
        <v>1648</v>
      </c>
      <c r="G528" t="str">
        <f>VLOOKUP($F528,RecipeNotes!$A$2:$E$62,3,FALSE)</f>
        <v xml:space="preserve">Shortcut recipe: Fry onions and spices on a pan. Add veggies. Add water with stock/broth. Taste and balance with salt, sugar, sour, and umami.  </v>
      </c>
      <c r="H528" t="str">
        <f>VLOOKUP($F528,RecipeNotes!$A$2:$E$62,5,FALSE)</f>
        <v xml:space="preserve">Shortcut opskrift: Steg løg og krydderier på panden. Tilføj grøntsager Til føj vand med buillon. Smag til med salt, sukker, syre og umami.  </v>
      </c>
      <c r="I528" t="s">
        <v>253</v>
      </c>
      <c r="J528" t="s">
        <v>254</v>
      </c>
      <c r="K528" t="s">
        <v>255</v>
      </c>
    </row>
    <row r="529" spans="1:13" x14ac:dyDescent="0.2">
      <c r="A529" t="s">
        <v>848</v>
      </c>
      <c r="B529">
        <v>156</v>
      </c>
      <c r="C529">
        <v>1821</v>
      </c>
      <c r="D529" t="str">
        <f>VLOOKUP(B529,[1]ManipulationPage!$A$3:$D$541,4,FALSE)</f>
        <v>zzz</v>
      </c>
      <c r="F529" t="s">
        <v>354</v>
      </c>
      <c r="G529" t="str">
        <f>VLOOKUP($F529,RecipeNotes!$A$2:$E$62,3,FALSE)</f>
        <v>Shortcut recipe: Cook then mash with a blender or fork. Taste and balance with salt, sugar, sour, and umami.</v>
      </c>
      <c r="H529" t="str">
        <f>VLOOKUP($F529,RecipeNotes!$A$2:$E$62,5,FALSE)</f>
        <v>Shortcut opskrift: Kog og blend derefter med en gaffel eller blender. Smag til med salt, sukker, syre og umami.</v>
      </c>
      <c r="I529" t="s">
        <v>79</v>
      </c>
      <c r="J529" t="s">
        <v>80</v>
      </c>
      <c r="K529" t="s">
        <v>81</v>
      </c>
    </row>
    <row r="530" spans="1:13" x14ac:dyDescent="0.2">
      <c r="A530" t="s">
        <v>849</v>
      </c>
      <c r="B530">
        <v>153</v>
      </c>
      <c r="C530">
        <v>1815</v>
      </c>
      <c r="D530" t="str">
        <f>VLOOKUP(B530,[1]ManipulationPage!$A$3:$D$541,4,FALSE)</f>
        <v>zzz</v>
      </c>
      <c r="F530" t="s">
        <v>1546</v>
      </c>
      <c r="G530" t="str">
        <f>VLOOKUP($F530,RecipeNotes!$A$2:$E$62,3,FALSE)</f>
        <v>Shortcut recipe: Fry onions and spices on a pan. Add veggies. Add water with stock/broth. Blend the soup. Taste and balance with salt, sugar, sour, and umami.</v>
      </c>
      <c r="H530" t="str">
        <f>VLOOKUP($F530,RecipeNotes!$A$2:$E$62,5,FALSE)</f>
        <v>Shortcut opskrift: Steg løg og krydderier på panden. Tilføj grøntsager Til føj vand med buillon. Blend suppen. Smag til med salt, sukker, syre og umami.</v>
      </c>
      <c r="I530" t="s">
        <v>253</v>
      </c>
      <c r="J530" t="s">
        <v>254</v>
      </c>
      <c r="K530" t="s">
        <v>255</v>
      </c>
    </row>
    <row r="531" spans="1:13" x14ac:dyDescent="0.2">
      <c r="A531" t="s">
        <v>869</v>
      </c>
      <c r="B531">
        <v>640</v>
      </c>
      <c r="C531">
        <v>3421</v>
      </c>
      <c r="D531" t="str">
        <f>VLOOKUP(B531,[1]ManipulationPage!$A$3:$D$541,4,FALSE)</f>
        <v>zzz</v>
      </c>
      <c r="F531" t="s">
        <v>1549</v>
      </c>
      <c r="G531" t="str">
        <f>VLOOKUP($F531,RecipeNotes!$A$2:$E$62,3,FALSE)</f>
        <v xml:space="preserve">Shortcut recipe: Roast veggies with onion, spices, salt, and oil in the oven.  Taste and balance with salt, sugar, sour, and umami.  </v>
      </c>
      <c r="H531" t="str">
        <f>VLOOKUP($F531,RecipeNotes!$A$2:$E$62,5,FALSE)</f>
        <v xml:space="preserve">Shortcut opskrift: Læg grøntsagerne i ovnen med løg, krydderier, salt og olie.  Smag til med salt, sukker, syre og umami.  </v>
      </c>
      <c r="I531" t="s">
        <v>870</v>
      </c>
    </row>
    <row r="532" spans="1:13" x14ac:dyDescent="0.2">
      <c r="A532" t="s">
        <v>892</v>
      </c>
      <c r="B532">
        <v>13</v>
      </c>
      <c r="C532">
        <v>1031</v>
      </c>
      <c r="D532" t="str">
        <f>VLOOKUP(B532,[1]ManipulationPage!$A$3:$D$541,4,FALSE)</f>
        <v>zzz</v>
      </c>
      <c r="F532" t="str">
        <f>RecipeNotes!A3</f>
        <v>With noodles/grains</v>
      </c>
      <c r="G532" t="str">
        <f>VLOOKUP($F532,RecipeNotes!$A$2:$E$62,3,FALSE)</f>
        <v>Shortcut recipe: Fry onions and spices on a pan. Add veggies. Mix with cooked grains/noodles.</v>
      </c>
      <c r="H532" t="str">
        <f>VLOOKUP($F532,RecipeNotes!$A$2:$E$62,5,FALSE)</f>
        <v>Shortcut opskrift: Steg løg og krydderier på panden. Tilføj grøntsager Bland med kogte nudler/bælgfrugter/korn.</v>
      </c>
      <c r="I532" t="s">
        <v>434</v>
      </c>
      <c r="J532" t="s">
        <v>435</v>
      </c>
      <c r="K532" t="s">
        <v>436</v>
      </c>
    </row>
    <row r="533" spans="1:13" x14ac:dyDescent="0.2">
      <c r="A533" t="s">
        <v>893</v>
      </c>
      <c r="B533">
        <v>553</v>
      </c>
      <c r="D533" t="str">
        <f>VLOOKUP(B533,[1]ManipulationPage!$A$3:$D$541,4,FALSE)</f>
        <v>zzz</v>
      </c>
      <c r="G533" t="e">
        <f>VLOOKUP($F533,RecipeNotes!$A$2:$E$62,3,FALSE)</f>
        <v>#N/A</v>
      </c>
      <c r="H533" t="e">
        <f>VLOOKUP($F533,RecipeNotes!$A$2:$E$62,5,FALSE)</f>
        <v>#N/A</v>
      </c>
    </row>
    <row r="534" spans="1:13" x14ac:dyDescent="0.2">
      <c r="A534" t="s">
        <v>894</v>
      </c>
      <c r="B534">
        <v>550</v>
      </c>
      <c r="D534" t="str">
        <f>VLOOKUP(B534,[1]ManipulationPage!$A$3:$D$541,4,FALSE)</f>
        <v>zzz</v>
      </c>
      <c r="G534" t="e">
        <f>VLOOKUP($F534,RecipeNotes!$A$2:$E$62,3,FALSE)</f>
        <v>#N/A</v>
      </c>
      <c r="H534" t="e">
        <f>VLOOKUP($F534,RecipeNotes!$A$2:$E$62,5,FALSE)</f>
        <v>#N/A</v>
      </c>
    </row>
    <row r="535" spans="1:13" x14ac:dyDescent="0.2">
      <c r="A535" t="s">
        <v>896</v>
      </c>
      <c r="B535">
        <v>329</v>
      </c>
      <c r="C535">
        <v>2764</v>
      </c>
      <c r="D535" t="str">
        <f>VLOOKUP(B535,[1]ManipulationPage!$A$3:$D$541,4,FALSE)</f>
        <v>zzz</v>
      </c>
      <c r="F535" t="s">
        <v>1633</v>
      </c>
      <c r="G535" t="str">
        <f>VLOOKUP($F535,RecipeNotes!$A$2:$E$62,3,FALSE)</f>
        <v>Shortcut recipe: Fry onions and spices on a pan. Add veggies. Taste and balance with salt, sugar, sour, and umami.</v>
      </c>
      <c r="H535" t="str">
        <f>VLOOKUP($F535,RecipeNotes!$A$2:$E$62,5,FALSE)</f>
        <v>Shortcut opskrift: Steg løg og krydderier på panden. Tilføj grøntsager Smag til med salt, sukker, syre og umami.</v>
      </c>
      <c r="I535" t="s">
        <v>897</v>
      </c>
      <c r="J535" t="s">
        <v>897</v>
      </c>
      <c r="K535" t="s">
        <v>898</v>
      </c>
    </row>
    <row r="536" spans="1:13" x14ac:dyDescent="0.2">
      <c r="A536" t="s">
        <v>902</v>
      </c>
      <c r="B536">
        <v>224</v>
      </c>
      <c r="C536">
        <v>2226</v>
      </c>
      <c r="D536" t="str">
        <f>VLOOKUP(B536,[1]ManipulationPage!$A$3:$D$541,4,FALSE)</f>
        <v>zzz</v>
      </c>
      <c r="F536" t="s">
        <v>1649</v>
      </c>
      <c r="G536" t="e">
        <f>VLOOKUP($F536,RecipeNotes!$A$2:$E$62,3,FALSE)</f>
        <v>#N/A</v>
      </c>
      <c r="H536" t="e">
        <f>VLOOKUP($F536,RecipeNotes!$A$2:$E$62,5,FALSE)</f>
        <v>#N/A</v>
      </c>
      <c r="I536" t="s">
        <v>91</v>
      </c>
      <c r="J536" t="s">
        <v>92</v>
      </c>
      <c r="K536" t="s">
        <v>93</v>
      </c>
    </row>
    <row r="537" spans="1:13" x14ac:dyDescent="0.2">
      <c r="A537" t="s">
        <v>904</v>
      </c>
      <c r="B537">
        <v>963</v>
      </c>
      <c r="C537">
        <v>5004</v>
      </c>
      <c r="D537" t="str">
        <f>VLOOKUP(B537,[1]ManipulationPage!$A$3:$D$541,4,FALSE)</f>
        <v>zzz</v>
      </c>
      <c r="F537" t="s">
        <v>1633</v>
      </c>
      <c r="G537" t="str">
        <f>VLOOKUP($F537,RecipeNotes!$A$2:$E$62,3,FALSE)</f>
        <v>Shortcut recipe: Fry onions and spices on a pan. Add veggies. Taste and balance with salt, sugar, sour, and umami.</v>
      </c>
      <c r="H537" t="str">
        <f>VLOOKUP($F537,RecipeNotes!$A$2:$E$62,5,FALSE)</f>
        <v>Shortcut opskrift: Steg løg og krydderier på panden. Tilføj grøntsager Smag til med salt, sukker, syre og umami.</v>
      </c>
      <c r="I537" t="s">
        <v>97</v>
      </c>
      <c r="J537" t="s">
        <v>98</v>
      </c>
      <c r="K537" t="s">
        <v>99</v>
      </c>
      <c r="L537" t="s">
        <v>100</v>
      </c>
      <c r="M537" t="s">
        <v>101</v>
      </c>
    </row>
    <row r="538" spans="1:13" x14ac:dyDescent="0.2">
      <c r="A538" t="s">
        <v>32</v>
      </c>
      <c r="B538">
        <v>1174</v>
      </c>
      <c r="D538" t="e">
        <f>VLOOKUP(B538,[1]ManipulationPage!$A$3:$D$541,4,FALSE)</f>
        <v>#N/A</v>
      </c>
      <c r="G538" t="e">
        <f>VLOOKUP($F538,RecipeNotes!$A$2:$E$62,3,FALSE)</f>
        <v>#N/A</v>
      </c>
      <c r="H538" t="e">
        <f>VLOOKUP($F538,RecipeNotes!$A$2:$E$62,5,FALSE)</f>
        <v>#N/A</v>
      </c>
    </row>
    <row r="539" spans="1:13" x14ac:dyDescent="0.2">
      <c r="A539" t="s">
        <v>45</v>
      </c>
      <c r="B539">
        <v>1178</v>
      </c>
      <c r="C539">
        <v>13393</v>
      </c>
      <c r="D539" t="e">
        <f>VLOOKUP(B539,[1]ManipulationPage!$A$3:$D$541,4,FALSE)</f>
        <v>#N/A</v>
      </c>
      <c r="E539">
        <v>2</v>
      </c>
      <c r="F539" t="s">
        <v>192</v>
      </c>
      <c r="G539" t="str">
        <f>VLOOKUP($F539,RecipeNotes!$A$2:$E$62,3,FALSE)</f>
        <v>Shortcut recipe: Put a layer of cooked grains on-top of your sauce. Bake in the oven for 30+ minutes (180 degrees)</v>
      </c>
      <c r="H539" t="str">
        <f>VLOOKUP($F539,RecipeNotes!$A$2:$E$62,5,FALSE)</f>
        <v>Shortcut opskrift: Put et lag af dine kogte korn på toppen. Bag i ovnen i +30 minutter ved 180 grader.</v>
      </c>
    </row>
    <row r="540" spans="1:13" x14ac:dyDescent="0.2">
      <c r="A540" t="s">
        <v>72</v>
      </c>
      <c r="B540">
        <v>1183</v>
      </c>
      <c r="C540">
        <v>13493</v>
      </c>
      <c r="D540" t="e">
        <f>VLOOKUP(B540,[1]ManipulationPage!$A$3:$D$541,4,FALSE)</f>
        <v>#N/A</v>
      </c>
      <c r="E540">
        <v>2</v>
      </c>
      <c r="F540" t="s">
        <v>1548</v>
      </c>
      <c r="G540" t="str">
        <f>VLOOKUP($F540,RecipeNotes!$A$2:$E$62,3,FALSE)</f>
        <v>Shortcut recipe: Mash ingredients with a fork or a blender. Shape patties in your hands and fry them on a pan with oil (5 minutes on each side).</v>
      </c>
      <c r="H540" t="str">
        <f>VLOOKUP($F540,RecipeNotes!$A$2:$E$62,5,FALSE)</f>
        <v>Shortcut opskrift: Blend ingredienser med en gaffel eller blender. Form bøfferne i dine hænder og steg dem (5-10 minutter per side).</v>
      </c>
    </row>
    <row r="541" spans="1:13" x14ac:dyDescent="0.2">
      <c r="A541" t="s">
        <v>176</v>
      </c>
      <c r="B541">
        <v>1179</v>
      </c>
      <c r="C541">
        <v>13421</v>
      </c>
      <c r="D541" t="e">
        <f>VLOOKUP(B541,[1]ManipulationPage!$A$3:$D$541,4,FALSE)</f>
        <v>#N/A</v>
      </c>
      <c r="F541" t="s">
        <v>651</v>
      </c>
      <c r="G541" t="str">
        <f>VLOOKUP($F541,RecipeNotes!$A$2:$E$62,3,FALSE)</f>
        <v>Shortcut recipe: Add your ingredients into a pie crust, then pour a whisked egg mixture on top. Bake for 30+ minutes (180 degrees).</v>
      </c>
      <c r="H541" t="str">
        <f>VLOOKUP($F541,RecipeNotes!$A$2:$E$62,5,FALSE)</f>
        <v>Shortcut opskrift: Tilføj dine ingredineser i din tærtedej. Hæld et rørt æg ind i blandingen. Bag i ovnen i +30 minutter ved 180 grader.</v>
      </c>
      <c r="I541" t="s">
        <v>177</v>
      </c>
      <c r="J541" t="s">
        <v>178</v>
      </c>
      <c r="K541" t="s">
        <v>179</v>
      </c>
      <c r="L541" t="s">
        <v>180</v>
      </c>
      <c r="M541" t="s">
        <v>181</v>
      </c>
    </row>
    <row r="542" spans="1:13" x14ac:dyDescent="0.2">
      <c r="A542" t="s">
        <v>196</v>
      </c>
      <c r="B542">
        <v>1170</v>
      </c>
      <c r="C542">
        <v>11102</v>
      </c>
      <c r="D542" t="e">
        <f>VLOOKUP(B542,[1]ManipulationPage!$A$3:$D$541,4,FALSE)</f>
        <v>#N/A</v>
      </c>
      <c r="E542" t="s">
        <v>1386</v>
      </c>
      <c r="F542" t="str">
        <f>RecipeNotes!A27</f>
        <v>Broccoli/cauliflower rice</v>
      </c>
      <c r="G542" t="str">
        <f>VLOOKUP($F542,RecipeNotes!$A$2:$E$62,3,FALSE)</f>
        <v>Shortcut recipe: Grate or use your food processor to make it into 'rice'. Add your spices and condiments. Taste and balance with salt, sugar, sour, and umami.</v>
      </c>
      <c r="H542" t="str">
        <f>VLOOKUP($F542,RecipeNotes!$A$2:$E$62,5,FALSE)</f>
        <v>Shortcut opskrift: Riv eller brug food processeren til at lave 'ris' af din grøntsag. Tilføj dine andre ingredienser. Smag til med salt, sukker, syre og umami.</v>
      </c>
      <c r="I542" t="s">
        <v>140</v>
      </c>
      <c r="J542" t="s">
        <v>141</v>
      </c>
      <c r="K542" t="s">
        <v>142</v>
      </c>
    </row>
    <row r="543" spans="1:13" x14ac:dyDescent="0.2">
      <c r="A543" t="s">
        <v>292</v>
      </c>
      <c r="B543">
        <v>1162</v>
      </c>
      <c r="C543">
        <v>10874</v>
      </c>
      <c r="D543" t="e">
        <f>VLOOKUP(B543,[1]ManipulationPage!$A$3:$D$541,4,FALSE)</f>
        <v>#N/A</v>
      </c>
      <c r="E543" t="s">
        <v>1386</v>
      </c>
      <c r="F543" t="s">
        <v>292</v>
      </c>
      <c r="G543" t="str">
        <f>VLOOKUP($F543,RecipeNotes!$A$2:$E$62,3,FALSE)</f>
        <v>Shortcut recipe: Fry onions and spices on a pan. Add rice and boiling water with stock, let simmer. Taste and balance with salt, sugar, sour, and umami.</v>
      </c>
      <c r="H543" t="str">
        <f>VLOOKUP($F543,RecipeNotes!$A$2:$E$62,5,FALSE)</f>
        <v>Shortcut opskrift: Steg løg og krydderier på panden. Tilføj ris og kogt vand med buillon og lad simre. Smag til med salt, sukker, syre og umami.</v>
      </c>
    </row>
    <row r="544" spans="1:13" x14ac:dyDescent="0.2">
      <c r="A544" t="s">
        <v>350</v>
      </c>
      <c r="B544">
        <v>1167</v>
      </c>
      <c r="C544">
        <v>10986</v>
      </c>
      <c r="D544" t="e">
        <f>VLOOKUP(B544,[1]ManipulationPage!$A$3:$D$541,4,FALSE)</f>
        <v>#N/A</v>
      </c>
      <c r="E544" t="s">
        <v>1386</v>
      </c>
      <c r="F544" t="s">
        <v>682</v>
      </c>
      <c r="G544" t="str">
        <f>VLOOKUP($F544,RecipeNotes!$A$2:$E$62,3,FALSE)</f>
        <v xml:space="preserve">Shortcut recipe: Fry onions and spices on a pan. Add rice with a little wine, then add stock and boiling water gradually.  </v>
      </c>
      <c r="H544" t="str">
        <f>VLOOKUP($F544,RecipeNotes!$A$2:$E$62,5,FALSE)</f>
        <v xml:space="preserve">Shortcut opskrift: Steg løg og krydderier på panden. Tilføj ris med en smule vin. Tilføj kogende vand med buillon gradvist.  </v>
      </c>
      <c r="I544" t="s">
        <v>58</v>
      </c>
      <c r="J544" t="s">
        <v>59</v>
      </c>
      <c r="K544" t="s">
        <v>60</v>
      </c>
      <c r="L544" t="s">
        <v>61</v>
      </c>
      <c r="M544" t="s">
        <v>62</v>
      </c>
    </row>
    <row r="545" spans="1:13" x14ac:dyDescent="0.2">
      <c r="A545" t="s">
        <v>429</v>
      </c>
      <c r="B545">
        <v>1196</v>
      </c>
      <c r="C545">
        <v>13641</v>
      </c>
      <c r="D545" t="e">
        <f>VLOOKUP(B545,[1]ManipulationPage!$A$3:$D$541,4,FALSE)</f>
        <v>#N/A</v>
      </c>
      <c r="E545" t="s">
        <v>1386</v>
      </c>
      <c r="F545" t="s">
        <v>1554</v>
      </c>
      <c r="G545" t="str">
        <f>VLOOKUP($F545,RecipeNotes!$A$2:$E$62,3,FALSE)</f>
        <v>Shortcut recipe: Whisk polenta into boiling water (with stock) bit-by-bit. Add your veggies and condiments. Taste and balance with salt, sugar, sour, and umami.</v>
      </c>
      <c r="H545" t="str">
        <f>VLOOKUP($F545,RecipeNotes!$A$2:$E$62,5,FALSE)</f>
        <v>Shortcut opskrift: Bag den hele kartoffel i op til en time i ovnen. Grav halvdelen af indmaden ud og tilføj din filling. Tilføj dine grøntsager og saucer. Smag til med salt, sukker, syre og umami.</v>
      </c>
    </row>
    <row r="546" spans="1:13" x14ac:dyDescent="0.2">
      <c r="A546" t="s">
        <v>511</v>
      </c>
      <c r="B546">
        <v>1198</v>
      </c>
      <c r="C546">
        <v>13657</v>
      </c>
      <c r="D546" t="e">
        <f>VLOOKUP(B546,[1]ManipulationPage!$A$3:$D$541,4,FALSE)</f>
        <v>#N/A</v>
      </c>
      <c r="E546" t="s">
        <v>1386</v>
      </c>
      <c r="F546" t="str">
        <f>RecipeNotes!A21</f>
        <v>Loaded potato</v>
      </c>
      <c r="G546" t="str">
        <f>VLOOKUP($F546,RecipeNotes!$A$2:$E$62,3,FALSE)</f>
        <v>Shortcut recipe: Bake whole potato for up to an hour in oven, scoop out half the inside, and add your filling</v>
      </c>
      <c r="H546" t="str">
        <f>VLOOKUP($F546,RecipeNotes!$A$2:$E$62,5,FALSE)</f>
        <v>Shortcut opskrift: Bag den hele kartoffel i op til en time i ovnen. Grav halvdelen af indmaden ud og tilføj din filling.</v>
      </c>
    </row>
    <row r="547" spans="1:13" x14ac:dyDescent="0.2">
      <c r="A547" t="s">
        <v>525</v>
      </c>
      <c r="B547">
        <v>1200</v>
      </c>
      <c r="C547">
        <v>13665</v>
      </c>
      <c r="D547" t="e">
        <f>VLOOKUP(B547,[1]ManipulationPage!$A$3:$D$541,4,FALSE)</f>
        <v>#N/A</v>
      </c>
      <c r="G547" t="e">
        <f>VLOOKUP($F547,RecipeNotes!$A$2:$E$62,3,FALSE)</f>
        <v>#N/A</v>
      </c>
      <c r="H547" t="e">
        <f>VLOOKUP($F547,RecipeNotes!$A$2:$E$62,5,FALSE)</f>
        <v>#N/A</v>
      </c>
    </row>
    <row r="548" spans="1:13" x14ac:dyDescent="0.2">
      <c r="A548" t="s">
        <v>533</v>
      </c>
      <c r="B548">
        <v>1169</v>
      </c>
      <c r="C548">
        <v>11062</v>
      </c>
      <c r="D548" t="e">
        <f>VLOOKUP(B548,[1]ManipulationPage!$A$3:$D$541,4,FALSE)</f>
        <v>#N/A</v>
      </c>
      <c r="E548" t="s">
        <v>1386</v>
      </c>
      <c r="F548" t="s">
        <v>682</v>
      </c>
      <c r="G548" t="str">
        <f>VLOOKUP($F548,RecipeNotes!$A$2:$E$62,3,FALSE)</f>
        <v xml:space="preserve">Shortcut recipe: Fry onions and spices on a pan. Add rice with a little wine, then add stock and boiling water gradually.  </v>
      </c>
      <c r="H548" t="str">
        <f>VLOOKUP($F548,RecipeNotes!$A$2:$E$62,5,FALSE)</f>
        <v xml:space="preserve">Shortcut opskrift: Steg løg og krydderier på panden. Tilføj ris med en smule vin. Tilføj kogende vand med buillon gradvist.  </v>
      </c>
      <c r="I548" t="s">
        <v>58</v>
      </c>
      <c r="J548" t="s">
        <v>59</v>
      </c>
      <c r="K548" t="s">
        <v>60</v>
      </c>
      <c r="L548" t="s">
        <v>61</v>
      </c>
      <c r="M548" t="s">
        <v>62</v>
      </c>
    </row>
    <row r="549" spans="1:13" x14ac:dyDescent="0.2">
      <c r="A549" t="s">
        <v>544</v>
      </c>
      <c r="B549">
        <v>1193</v>
      </c>
      <c r="C549">
        <v>13619</v>
      </c>
      <c r="D549" t="e">
        <f>VLOOKUP(B549,[1]ManipulationPage!$A$3:$D$541,4,FALSE)</f>
        <v>#N/A</v>
      </c>
      <c r="E549" t="s">
        <v>1386</v>
      </c>
      <c r="F549" t="s">
        <v>1556</v>
      </c>
      <c r="G549" t="str">
        <f>VLOOKUP($F549,RecipeNotes!$A$2:$E$62,3,FALSE)</f>
        <v>Shortcut recipe: Fry onions and spices on a pan. Add rice and toast them briefly. Then add water (with stock) to boil as usual.</v>
      </c>
      <c r="H549" t="str">
        <f>VLOOKUP($F549,RecipeNotes!$A$2:$E$62,5,FALSE)</f>
        <v>Shortcut opskrift: Steg løg og krydderier på panden. Tilføj ris og rist dem kort. Tilføj vand med buillon og kog risene.</v>
      </c>
    </row>
    <row r="550" spans="1:13" x14ac:dyDescent="0.2">
      <c r="A550" t="s">
        <v>554</v>
      </c>
      <c r="B550">
        <v>1181</v>
      </c>
      <c r="C550">
        <v>13477</v>
      </c>
      <c r="D550" t="e">
        <f>VLOOKUP(B550,[1]ManipulationPage!$A$3:$D$541,4,FALSE)</f>
        <v>#N/A</v>
      </c>
      <c r="G550" t="e">
        <f>VLOOKUP($F550,RecipeNotes!$A$2:$E$62,3,FALSE)</f>
        <v>#N/A</v>
      </c>
      <c r="H550" t="e">
        <f>VLOOKUP($F550,RecipeNotes!$A$2:$E$62,5,FALSE)</f>
        <v>#N/A</v>
      </c>
    </row>
    <row r="551" spans="1:13" x14ac:dyDescent="0.2">
      <c r="A551" t="s">
        <v>556</v>
      </c>
      <c r="B551">
        <v>1166</v>
      </c>
      <c r="C551">
        <v>10960</v>
      </c>
      <c r="D551" t="e">
        <f>VLOOKUP(B551,[1]ManipulationPage!$A$3:$D$541,4,FALSE)</f>
        <v>#N/A</v>
      </c>
      <c r="E551" t="s">
        <v>1386</v>
      </c>
      <c r="F551" t="s">
        <v>682</v>
      </c>
      <c r="G551" t="str">
        <f>VLOOKUP($F551,RecipeNotes!$A$2:$E$62,3,FALSE)</f>
        <v xml:space="preserve">Shortcut recipe: Fry onions and spices on a pan. Add rice with a little wine, then add stock and boiling water gradually.  </v>
      </c>
      <c r="H551" t="str">
        <f>VLOOKUP($F551,RecipeNotes!$A$2:$E$62,5,FALSE)</f>
        <v xml:space="preserve">Shortcut opskrift: Steg løg og krydderier på panden. Tilføj ris med en smule vin. Tilføj kogende vand med buillon gradvist.  </v>
      </c>
      <c r="I551" t="s">
        <v>58</v>
      </c>
      <c r="J551" t="s">
        <v>59</v>
      </c>
      <c r="K551" t="s">
        <v>60</v>
      </c>
      <c r="L551" t="s">
        <v>61</v>
      </c>
      <c r="M551" t="s">
        <v>62</v>
      </c>
    </row>
    <row r="552" spans="1:13" x14ac:dyDescent="0.2">
      <c r="A552" t="s">
        <v>559</v>
      </c>
      <c r="B552">
        <v>1180</v>
      </c>
      <c r="C552">
        <v>13467</v>
      </c>
      <c r="D552" t="e">
        <f>VLOOKUP(B552,[1]ManipulationPage!$A$3:$D$541,4,FALSE)</f>
        <v>#N/A</v>
      </c>
      <c r="E552" t="s">
        <v>1386</v>
      </c>
      <c r="F552" t="s">
        <v>770</v>
      </c>
      <c r="G552" t="str">
        <f>VLOOKUP($F552,RecipeNotes!$A$2:$E$62,3,FALSE)</f>
        <v xml:space="preserve">Shortcut recipe: Fry onions and spices on a pan. Add veggies. Add water with stock/broth. Taste and balance with salt, sugar, sour, and umami.  </v>
      </c>
      <c r="H552" t="str">
        <f>VLOOKUP($F552,RecipeNotes!$A$2:$E$62,5,FALSE)</f>
        <v xml:space="preserve">Shortcut opskrift: Steg løg og krydderier på panden. Tilføj grøntsager Til føj vand med buillon. Smag til med salt, sukker, syre og umami.  </v>
      </c>
    </row>
    <row r="553" spans="1:13" x14ac:dyDescent="0.2">
      <c r="A553" t="s">
        <v>601</v>
      </c>
      <c r="B553">
        <v>1203</v>
      </c>
      <c r="C553">
        <v>14416</v>
      </c>
      <c r="D553" t="e">
        <f>VLOOKUP(B553,[1]ManipulationPage!$A$3:$D$541,4,FALSE)</f>
        <v>#N/A</v>
      </c>
      <c r="E553" t="s">
        <v>1386</v>
      </c>
      <c r="F553" t="s">
        <v>601</v>
      </c>
      <c r="G553" t="str">
        <f>VLOOKUP($F553,RecipeNotes!$A$2:$E$62,3,FALSE)</f>
        <v>Shortcut recipe: 50% is bread. Cut bread in cubes, drizzle with oil and salt, and then bake in oven. Cook and add your other ingredients</v>
      </c>
      <c r="H553" t="str">
        <f>VLOOKUP($F553,RecipeNotes!$A$2:$E$62,5,FALSE)</f>
        <v>Shortcut opskrift: 50% er brød. Skær brøddet i kvadrater, tilføj olie og salt og bag i ovnen. Tilføj til de andre ingredienser.</v>
      </c>
      <c r="I553" t="s">
        <v>587</v>
      </c>
      <c r="J553" t="s">
        <v>588</v>
      </c>
      <c r="K553" t="s">
        <v>589</v>
      </c>
      <c r="M553" t="s">
        <v>590</v>
      </c>
    </row>
    <row r="554" spans="1:13" x14ac:dyDescent="0.2">
      <c r="A554" t="s">
        <v>635</v>
      </c>
      <c r="B554">
        <v>1175</v>
      </c>
      <c r="C554">
        <v>12739</v>
      </c>
      <c r="D554" t="e">
        <f>VLOOKUP(B554,[1]ManipulationPage!$A$3:$D$541,4,FALSE)</f>
        <v>#N/A</v>
      </c>
      <c r="E554" t="s">
        <v>1386</v>
      </c>
      <c r="F554" t="s">
        <v>1546</v>
      </c>
      <c r="G554" t="str">
        <f>VLOOKUP($F554,RecipeNotes!$A$2:$E$62,3,FALSE)</f>
        <v>Shortcut recipe: Fry onions and spices on a pan. Add veggies. Add water with stock/broth. Blend the soup. Taste and balance with salt, sugar, sour, and umami.</v>
      </c>
      <c r="H554" t="str">
        <f>VLOOKUP($F554,RecipeNotes!$A$2:$E$62,5,FALSE)</f>
        <v>Shortcut opskrift: Steg løg og krydderier på panden. Tilføj grøntsager Til føj vand med buillon. Blend suppen. Smag til med salt, sukker, syre og umami.</v>
      </c>
      <c r="I554" t="s">
        <v>253</v>
      </c>
      <c r="J554" t="s">
        <v>254</v>
      </c>
      <c r="K554" t="s">
        <v>255</v>
      </c>
      <c r="L554" t="s">
        <v>256</v>
      </c>
      <c r="M554" t="s">
        <v>257</v>
      </c>
    </row>
    <row r="555" spans="1:13" x14ac:dyDescent="0.2">
      <c r="A555" t="s">
        <v>637</v>
      </c>
      <c r="B555">
        <v>1177</v>
      </c>
      <c r="C555">
        <v>12878</v>
      </c>
      <c r="D555" t="e">
        <f>VLOOKUP(B555,[1]ManipulationPage!$A$3:$D$541,4,FALSE)</f>
        <v>#N/A</v>
      </c>
      <c r="E555" t="s">
        <v>1386</v>
      </c>
      <c r="F555" t="s">
        <v>618</v>
      </c>
      <c r="G555" t="str">
        <f>VLOOKUP($F555,RecipeNotes!$A$2:$E$62,3,FALSE)</f>
        <v>Shortcut recipe: Make your suco of fried onions, spices, and your choice of paste. Add to pizza with your choice of veggies.</v>
      </c>
      <c r="H555" t="str">
        <f>VLOOKUP($F555,RecipeNotes!$A$2:$E$62,5,FALSE)</f>
        <v>Shortcut opskrift: Smør din pizza sauce i tyndt lag (lavet af løg, krydderier og din sauce stegt på en pande). Tilføj dine grøntsager på toppen.</v>
      </c>
      <c r="I555" t="s">
        <v>622</v>
      </c>
      <c r="J555" t="s">
        <v>623</v>
      </c>
      <c r="K555" t="s">
        <v>624</v>
      </c>
    </row>
    <row r="556" spans="1:13" x14ac:dyDescent="0.2">
      <c r="A556" t="s">
        <v>643</v>
      </c>
      <c r="B556">
        <v>1172</v>
      </c>
      <c r="D556" t="e">
        <f>VLOOKUP(B556,[1]ManipulationPage!$A$3:$D$541,4,FALSE)</f>
        <v>#N/A</v>
      </c>
      <c r="G556" t="e">
        <f>VLOOKUP($F556,RecipeNotes!$A$2:$E$62,3,FALSE)</f>
        <v>#N/A</v>
      </c>
      <c r="H556" t="e">
        <f>VLOOKUP($F556,RecipeNotes!$A$2:$E$62,5,FALSE)</f>
        <v>#N/A</v>
      </c>
    </row>
    <row r="557" spans="1:13" x14ac:dyDescent="0.2">
      <c r="A557" t="s">
        <v>650</v>
      </c>
      <c r="B557">
        <v>1185</v>
      </c>
      <c r="C557">
        <v>13517</v>
      </c>
      <c r="D557" t="e">
        <f>VLOOKUP(B557,[1]ManipulationPage!$A$3:$D$541,4,FALSE)</f>
        <v>#N/A</v>
      </c>
      <c r="E557" t="s">
        <v>1386</v>
      </c>
      <c r="F557" t="s">
        <v>650</v>
      </c>
      <c r="G557" t="str">
        <f>VLOOKUP($F557,RecipeNotes!$A$2:$E$62,3,FALSE)</f>
        <v>Shortcut recipe: Add fillings to your tortilla and fold over. Heat a bit of oil in your pan and cook the quesadilla for 2-3min per side until golden brown.</v>
      </c>
      <c r="H557" t="str">
        <f>VLOOKUP($F557,RecipeNotes!$A$2:$E$62,5,FALSE)</f>
        <v>Shortcut opskrift: Tilføj ingredienser til tortilla og fold dem. Varm en smule olie på en pande og steg quesadillas 2-3 minutter per side.</v>
      </c>
    </row>
    <row r="558" spans="1:13" x14ac:dyDescent="0.2">
      <c r="A558" t="s">
        <v>679</v>
      </c>
      <c r="B558">
        <v>1189</v>
      </c>
      <c r="C558">
        <v>13537</v>
      </c>
      <c r="D558" t="e">
        <f>VLOOKUP(B558,[1]ManipulationPage!$A$3:$D$541,4,FALSE)</f>
        <v>#N/A</v>
      </c>
      <c r="E558" t="s">
        <v>1386</v>
      </c>
      <c r="F558" t="s">
        <v>1556</v>
      </c>
      <c r="G558" t="str">
        <f>VLOOKUP($F558,RecipeNotes!$A$2:$E$62,3,FALSE)</f>
        <v>Shortcut recipe: Fry onions and spices on a pan. Add rice and toast them briefly. Then add water (with stock) to boil as usual.</v>
      </c>
      <c r="H558" t="str">
        <f>VLOOKUP($F558,RecipeNotes!$A$2:$E$62,5,FALSE)</f>
        <v>Shortcut opskrift: Steg løg og krydderier på panden. Tilføj ris og rist dem kort. Tilføj vand med buillon og kog risene.</v>
      </c>
    </row>
    <row r="559" spans="1:13" x14ac:dyDescent="0.2">
      <c r="A559" t="s">
        <v>707</v>
      </c>
      <c r="B559">
        <v>1164</v>
      </c>
      <c r="C559">
        <v>10891</v>
      </c>
      <c r="D559" t="e">
        <f>VLOOKUP(B559,[1]ManipulationPage!$A$3:$D$541,4,FALSE)</f>
        <v>#N/A</v>
      </c>
      <c r="E559" t="s">
        <v>1386</v>
      </c>
      <c r="F559" t="s">
        <v>626</v>
      </c>
      <c r="G559" t="str">
        <f>VLOOKUP($F559,RecipeNotes!$A$2:$E$62,3,FALSE)</f>
        <v>Shortcut recipe: Add boiling water to oats with a bit of salt. Wait 5 minutes. Then add your condiments</v>
      </c>
      <c r="H559" t="str">
        <f>VLOOKUP($F559,RecipeNotes!$A$2:$E$62,5,FALSE)</f>
        <v>Shortcut opskrift: Tilføj kogende vand og en smule salt - vent 5 minutter… vupti!</v>
      </c>
    </row>
    <row r="560" spans="1:13" x14ac:dyDescent="0.2">
      <c r="A560" t="s">
        <v>709</v>
      </c>
      <c r="B560">
        <v>1184</v>
      </c>
      <c r="C560">
        <v>13495</v>
      </c>
      <c r="D560" t="e">
        <f>VLOOKUP(B560,[1]ManipulationPage!$A$3:$D$541,4,FALSE)</f>
        <v>#N/A</v>
      </c>
      <c r="E560" t="s">
        <v>1386</v>
      </c>
      <c r="F560" t="s">
        <v>651</v>
      </c>
      <c r="G560" t="str">
        <f>VLOOKUP($F560,RecipeNotes!$A$2:$E$62,3,FALSE)</f>
        <v>Shortcut recipe: Add your ingredients into a pie crust, then pour a whisked egg mixture on top. Bake for 30+ minutes (180 degrees).</v>
      </c>
      <c r="H560" t="str">
        <f>VLOOKUP($F560,RecipeNotes!$A$2:$E$62,5,FALSE)</f>
        <v>Shortcut opskrift: Tilføj dine ingredineser i din tærtedej. Hæld et rørt æg ind i blandingen. Bag i ovnen i +30 minutter ved 180 grader.</v>
      </c>
    </row>
    <row r="561" spans="1:13" x14ac:dyDescent="0.2">
      <c r="A561" t="s">
        <v>732</v>
      </c>
      <c r="B561">
        <v>1194</v>
      </c>
      <c r="C561">
        <v>13637</v>
      </c>
      <c r="D561" t="e">
        <f>VLOOKUP(B561,[1]ManipulationPage!$A$3:$D$541,4,FALSE)</f>
        <v>#N/A</v>
      </c>
      <c r="E561" t="s">
        <v>1386</v>
      </c>
      <c r="F561" t="s">
        <v>1554</v>
      </c>
      <c r="G561" t="str">
        <f>VLOOKUP($F561,RecipeNotes!$A$2:$E$62,3,FALSE)</f>
        <v>Shortcut recipe: Whisk polenta into boiling water (with stock) bit-by-bit. Add your veggies and condiments. Taste and balance with salt, sugar, sour, and umami.</v>
      </c>
      <c r="H561" t="str">
        <f>VLOOKUP($F561,RecipeNotes!$A$2:$E$62,5,FALSE)</f>
        <v>Shortcut opskrift: Bag den hele kartoffel i op til en time i ovnen. Grav halvdelen af indmaden ud og tilføj din filling. Tilføj dine grøntsager og saucer. Smag til med salt, sukker, syre og umami.</v>
      </c>
    </row>
    <row r="562" spans="1:13" x14ac:dyDescent="0.2">
      <c r="A562" t="s">
        <v>755</v>
      </c>
      <c r="B562">
        <v>1186</v>
      </c>
      <c r="C562">
        <v>13531</v>
      </c>
      <c r="D562" t="e">
        <f>VLOOKUP(B562,[1]ManipulationPage!$A$3:$D$541,4,FALSE)</f>
        <v>#N/A</v>
      </c>
      <c r="E562" t="s">
        <v>1386</v>
      </c>
      <c r="F562" t="s">
        <v>650</v>
      </c>
      <c r="G562" t="str">
        <f>VLOOKUP($F562,RecipeNotes!$A$2:$E$62,3,FALSE)</f>
        <v>Shortcut recipe: Add fillings to your tortilla and fold over. Heat a bit of oil in your pan and cook the quesadilla for 2-3min per side until golden brown.</v>
      </c>
      <c r="H562" t="str">
        <f>VLOOKUP($F562,RecipeNotes!$A$2:$E$62,5,FALSE)</f>
        <v>Shortcut opskrift: Tilføj ingredienser til tortilla og fold dem. Varm en smule olie på en pande og steg quesadillas 2-3 minutter per side.</v>
      </c>
    </row>
    <row r="563" spans="1:13" x14ac:dyDescent="0.2">
      <c r="A563" t="s">
        <v>779</v>
      </c>
      <c r="B563">
        <v>1197</v>
      </c>
      <c r="C563">
        <v>13643</v>
      </c>
      <c r="D563" t="e">
        <f>VLOOKUP(B563,[1]ManipulationPage!$A$3:$D$541,4,FALSE)</f>
        <v>#N/A</v>
      </c>
      <c r="E563" t="s">
        <v>1386</v>
      </c>
      <c r="F563" t="str">
        <f>F546</f>
        <v>Loaded potato</v>
      </c>
      <c r="G563" t="str">
        <f>VLOOKUP($F563,RecipeNotes!$A$2:$E$62,3,FALSE)</f>
        <v>Shortcut recipe: Bake whole potato for up to an hour in oven, scoop out half the inside, and add your filling</v>
      </c>
      <c r="H563" t="str">
        <f>VLOOKUP($F563,RecipeNotes!$A$2:$E$62,5,FALSE)</f>
        <v>Shortcut opskrift: Bag den hele kartoffel i op til en time i ovnen. Grav halvdelen af indmaden ud og tilføj din filling.</v>
      </c>
    </row>
    <row r="564" spans="1:13" x14ac:dyDescent="0.2">
      <c r="A564" t="s">
        <v>789</v>
      </c>
      <c r="B564">
        <v>1199</v>
      </c>
      <c r="C564">
        <v>13659</v>
      </c>
      <c r="D564" t="e">
        <f>VLOOKUP(B564,[1]ManipulationPage!$A$3:$D$541,4,FALSE)</f>
        <v>#N/A</v>
      </c>
      <c r="E564" t="s">
        <v>1386</v>
      </c>
      <c r="F564" t="s">
        <v>1557</v>
      </c>
      <c r="G564" t="str">
        <f>VLOOKUP($F564,RecipeNotes!$A$2:$E$62,3,FALSE)</f>
        <v>Shortcut recipe: Fry onions and spices on a pan. Add veggies. Taste and balance with salt, sugar, sour, and umami. Soften rice paper in warm water, then fill with your ingredients. Enjoy!</v>
      </c>
      <c r="H564" t="str">
        <f>VLOOKUP($F564,RecipeNotes!$A$2:$E$62,5,FALSE)</f>
        <v>Shortcut opskrift: Steg løg og krydderier på panden. Tilføj grøntsager Smag til med salt, sukker, syre og umami. Blødgør rispapiret i varmt vand, fyld så med dine ingredienser.</v>
      </c>
    </row>
    <row r="565" spans="1:13" x14ac:dyDescent="0.2">
      <c r="A565" t="s">
        <v>808</v>
      </c>
      <c r="B565">
        <v>1165</v>
      </c>
      <c r="D565" t="e">
        <f>VLOOKUP(B565,[1]ManipulationPage!$A$3:$D$541,4,FALSE)</f>
        <v>#N/A</v>
      </c>
      <c r="G565" t="e">
        <f>VLOOKUP($F565,RecipeNotes!$A$2:$E$62,3,FALSE)</f>
        <v>#N/A</v>
      </c>
      <c r="H565" t="e">
        <f>VLOOKUP($F565,RecipeNotes!$A$2:$E$62,5,FALSE)</f>
        <v>#N/A</v>
      </c>
    </row>
    <row r="566" spans="1:13" x14ac:dyDescent="0.2">
      <c r="A566" t="s">
        <v>817</v>
      </c>
      <c r="B566">
        <v>1188</v>
      </c>
      <c r="C566">
        <v>13535</v>
      </c>
      <c r="D566" t="e">
        <f>VLOOKUP(B566,[1]ManipulationPage!$A$3:$D$541,4,FALSE)</f>
        <v>#N/A</v>
      </c>
      <c r="E566" t="s">
        <v>1386</v>
      </c>
      <c r="F566" t="s">
        <v>817</v>
      </c>
      <c r="G566" t="str">
        <f>VLOOKUP($F566,RecipeNotes!$A$2:$E$62,3,FALSE)</f>
        <v>Shortcut recipe: Fry onions and spices on a pan. Add veggies. Taste and balance with salt, sugar, sour, and umami. Add all to the tacos. Enjoy!</v>
      </c>
      <c r="H566" t="str">
        <f>VLOOKUP($F566,RecipeNotes!$A$2:$E$62,5,FALSE)</f>
        <v>Shortcut opskrift: Steg løg og krydderier på panden. Tilføj grøntsager Smag til med salt, sukker, syre og umami. Tilføj alt i dine tacos.</v>
      </c>
    </row>
    <row r="567" spans="1:13" x14ac:dyDescent="0.2">
      <c r="A567" t="s">
        <v>882</v>
      </c>
      <c r="B567">
        <v>1171</v>
      </c>
      <c r="C567">
        <v>11108</v>
      </c>
      <c r="D567" t="e">
        <f>VLOOKUP(B567,[1]ManipulationPage!$A$3:$D$541,4,FALSE)</f>
        <v>#N/A</v>
      </c>
      <c r="E567" t="s">
        <v>1386</v>
      </c>
      <c r="F567" t="str">
        <f>RecipeNotes!A27</f>
        <v>Broccoli/cauliflower rice</v>
      </c>
      <c r="G567" t="str">
        <f>VLOOKUP($F567,RecipeNotes!$A$2:$E$62,3,FALSE)</f>
        <v>Shortcut recipe: Grate or use your food processor to make it into 'rice'. Add your spices and condiments. Taste and balance with salt, sugar, sour, and umami.</v>
      </c>
      <c r="H567" t="str">
        <f>VLOOKUP($F567,RecipeNotes!$A$2:$E$62,5,FALSE)</f>
        <v>Shortcut opskrift: Riv eller brug food processeren til at lave 'ris' af din grøntsag. Tilføj dine andre ingredienser. Smag til med salt, sukker, syre og umami.</v>
      </c>
    </row>
    <row r="568" spans="1:13" x14ac:dyDescent="0.2">
      <c r="A568" t="s">
        <v>883</v>
      </c>
      <c r="B568">
        <v>1187</v>
      </c>
      <c r="C568">
        <v>13533</v>
      </c>
      <c r="D568" t="e">
        <f>VLOOKUP(B568,[1]ManipulationPage!$A$3:$D$541,4,FALSE)</f>
        <v>#N/A</v>
      </c>
      <c r="E568" t="s">
        <v>1386</v>
      </c>
      <c r="F568" t="s">
        <v>650</v>
      </c>
      <c r="G568" t="str">
        <f>VLOOKUP($F568,RecipeNotes!$A$2:$E$62,3,FALSE)</f>
        <v>Shortcut recipe: Add fillings to your tortilla and fold over. Heat a bit of oil in your pan and cook the quesadilla for 2-3min per side until golden brown.</v>
      </c>
      <c r="H568" t="str">
        <f>VLOOKUP($F568,RecipeNotes!$A$2:$E$62,5,FALSE)</f>
        <v>Shortcut opskrift: Tilføj ingredienser til tortilla og fold dem. Varm en smule olie på en pande og steg quesadillas 2-3 minutter per side.</v>
      </c>
    </row>
    <row r="569" spans="1:13" x14ac:dyDescent="0.2">
      <c r="A569" t="s">
        <v>885</v>
      </c>
      <c r="B569">
        <v>1182</v>
      </c>
      <c r="C569">
        <v>13491</v>
      </c>
      <c r="D569" t="e">
        <f>VLOOKUP(B569,[1]ManipulationPage!$A$3:$D$541,4,FALSE)</f>
        <v>#N/A</v>
      </c>
      <c r="E569" t="s">
        <v>1386</v>
      </c>
      <c r="G569" t="e">
        <f>VLOOKUP($F569,RecipeNotes!$A$2:$E$62,3,FALSE)</f>
        <v>#N/A</v>
      </c>
      <c r="H569" t="e">
        <f>VLOOKUP($F569,RecipeNotes!$A$2:$E$62,5,FALSE)</f>
        <v>#N/A</v>
      </c>
    </row>
    <row r="570" spans="1:13" x14ac:dyDescent="0.2">
      <c r="A570" t="s">
        <v>886</v>
      </c>
      <c r="B570">
        <v>1191</v>
      </c>
      <c r="C570">
        <v>13609</v>
      </c>
      <c r="D570" t="e">
        <f>VLOOKUP(B570,[1]ManipulationPage!$A$3:$D$541,4,FALSE)</f>
        <v>#N/A</v>
      </c>
      <c r="E570" t="s">
        <v>1386</v>
      </c>
      <c r="F570" t="s">
        <v>1556</v>
      </c>
      <c r="G570" t="str">
        <f>VLOOKUP($F570,RecipeNotes!$A$2:$E$62,3,FALSE)</f>
        <v>Shortcut recipe: Fry onions and spices on a pan. Add rice and toast them briefly. Then add water (with stock) to boil as usual.</v>
      </c>
      <c r="H570" t="str">
        <f>VLOOKUP($F570,RecipeNotes!$A$2:$E$62,5,FALSE)</f>
        <v>Shortcut opskrift: Steg løg og krydderier på panden. Tilføj ris og rist dem kort. Tilføj vand med buillon og kog risene.</v>
      </c>
    </row>
    <row r="571" spans="1:13" x14ac:dyDescent="0.2">
      <c r="A571" t="s">
        <v>887</v>
      </c>
      <c r="B571">
        <v>1195</v>
      </c>
      <c r="C571">
        <v>13639</v>
      </c>
      <c r="D571" t="e">
        <f>VLOOKUP(B571,[1]ManipulationPage!$A$3:$D$541,4,FALSE)</f>
        <v>#N/A</v>
      </c>
      <c r="E571" t="s">
        <v>1386</v>
      </c>
      <c r="F571" t="s">
        <v>1554</v>
      </c>
      <c r="G571" t="str">
        <f>VLOOKUP($F571,RecipeNotes!$A$2:$E$62,3,FALSE)</f>
        <v>Shortcut recipe: Whisk polenta into boiling water (with stock) bit-by-bit. Add your veggies and condiments. Taste and balance with salt, sugar, sour, and umami.</v>
      </c>
      <c r="H571" t="str">
        <f>VLOOKUP($F571,RecipeNotes!$A$2:$E$62,5,FALSE)</f>
        <v>Shortcut opskrift: Bag den hele kartoffel i op til en time i ovnen. Grav halvdelen af indmaden ud og tilføj din filling. Tilføj dine grøntsager og saucer. Smag til med salt, sukker, syre og umami.</v>
      </c>
    </row>
    <row r="572" spans="1:13" x14ac:dyDescent="0.2">
      <c r="A572" t="s">
        <v>889</v>
      </c>
      <c r="B572">
        <v>1163</v>
      </c>
      <c r="C572">
        <v>10888</v>
      </c>
      <c r="D572" t="e">
        <f>VLOOKUP(B572,[1]ManipulationPage!$A$3:$D$541,4,FALSE)</f>
        <v>#N/A</v>
      </c>
      <c r="E572">
        <v>2</v>
      </c>
      <c r="F572" t="s">
        <v>597</v>
      </c>
      <c r="G572" t="str">
        <f>VLOOKUP($F572,RecipeNotes!$A$2:$E$62,3,FALSE)</f>
        <v>Shortcut recipe: Mix ingredients gently in a bowl. Heat a pan with oil or butter. Add in thin layers. 2 minutes per side.</v>
      </c>
      <c r="H572" t="str">
        <f>VLOOKUP($F572,RecipeNotes!$A$2:$E$62,5,FALSE)</f>
        <v>Shortcut opskrift: Bland ingredienserne nænsomt i en skål. Varn en pande med olie/smør og tilføj dejen i små lag. 2 minutter per side.</v>
      </c>
      <c r="I572" t="s">
        <v>486</v>
      </c>
      <c r="J572" t="s">
        <v>486</v>
      </c>
      <c r="K572" t="s">
        <v>486</v>
      </c>
    </row>
    <row r="573" spans="1:13" x14ac:dyDescent="0.2">
      <c r="A573" t="s">
        <v>899</v>
      </c>
      <c r="B573">
        <v>1168</v>
      </c>
      <c r="C573">
        <v>11044</v>
      </c>
      <c r="D573" t="e">
        <f>VLOOKUP(B573,[1]ManipulationPage!$A$3:$D$541,4,FALSE)</f>
        <v>#N/A</v>
      </c>
      <c r="E573" t="s">
        <v>1386</v>
      </c>
      <c r="F573" t="s">
        <v>682</v>
      </c>
      <c r="G573" t="str">
        <f>VLOOKUP($F573,RecipeNotes!$A$2:$E$62,3,FALSE)</f>
        <v xml:space="preserve">Shortcut recipe: Fry onions and spices on a pan. Add rice with a little wine, then add stock and boiling water gradually.  </v>
      </c>
      <c r="H573" t="str">
        <f>VLOOKUP($F573,RecipeNotes!$A$2:$E$62,5,FALSE)</f>
        <v xml:space="preserve">Shortcut opskrift: Steg løg og krydderier på panden. Tilføj ris med en smule vin. Tilføj kogende vand med buillon gradvist.  </v>
      </c>
      <c r="I573" t="s">
        <v>58</v>
      </c>
      <c r="J573" t="s">
        <v>59</v>
      </c>
      <c r="K573" t="s">
        <v>60</v>
      </c>
      <c r="L573" t="s">
        <v>61</v>
      </c>
      <c r="M573" t="s">
        <v>62</v>
      </c>
    </row>
  </sheetData>
  <sortState xmlns:xlrd2="http://schemas.microsoft.com/office/spreadsheetml/2017/richdata2" ref="A2:M573">
    <sortCondition ref="D2:D57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CAE4-75DF-DD4D-9E3A-AD6FE4F2FA46}">
  <dimension ref="A1:E62"/>
  <sheetViews>
    <sheetView topLeftCell="A2" workbookViewId="0">
      <selection activeCell="E2" sqref="E2:E62"/>
    </sheetView>
  </sheetViews>
  <sheetFormatPr baseColWidth="10" defaultRowHeight="16" x14ac:dyDescent="0.2"/>
  <cols>
    <col min="1" max="1" width="20.1640625" style="5" customWidth="1"/>
    <col min="2" max="2" width="79.6640625" customWidth="1"/>
    <col min="3" max="3" width="56.5" customWidth="1"/>
  </cols>
  <sheetData>
    <row r="1" spans="1:5" x14ac:dyDescent="0.2">
      <c r="A1" s="2" t="s">
        <v>1545</v>
      </c>
    </row>
    <row r="2" spans="1:5" ht="204" x14ac:dyDescent="0.2">
      <c r="A2" s="5" t="s">
        <v>772</v>
      </c>
      <c r="B2" s="1" t="str">
        <f>CookingComponents!B2&amp;" "&amp;CookingComponents!B8&amp;" "&amp;CookingComponents!B16&amp;" "&amp;CookingComponents!B21&amp;" "&amp;CookingComponents!B25&amp;" "&amp;CookingComponents!B26&amp;" "&amp;CookingComponents!B28</f>
        <v>Fry your onions and spices with a bit of oil. Add your condiments. Add veggies to the pan. Cook your other ingredients on the side. Once all your ingredients are cooked and ready to eat, mix them. Before toppings, taste and balance your dish by adding salt, sugar, sour, or umami ingredients for increased flavor. Too sour? Add salt and sugar. Too spicy? Add oil and sugar. Too Salty? Add bitter ingredients or fresh herbs. Add toppings and enjoy!</v>
      </c>
      <c r="C2" s="1" t="str">
        <f>CookingComponents!C2&amp;" "&amp;CookingComponents!C8&amp;" "&amp;CookingComponents!C25</f>
        <v>Shortcut recipe: Fry onions and spices on a pan. Add veggies. Taste and balance with salt, sugar, sour, and umami.</v>
      </c>
      <c r="D2">
        <f t="shared" ref="D2:D36" si="0">LEN(C2)</f>
        <v>114</v>
      </c>
      <c r="E2" s="1" t="str">
        <f>CookingComponents!E2&amp;" "&amp;CookingComponents!E8&amp;" "&amp;CookingComponents!E25</f>
        <v>Shortcut opskrift: Steg løg og krydderier på panden. Tilføj grøntsager Smag til med salt, sukker, syre og umami.</v>
      </c>
    </row>
    <row r="3" spans="1:5" ht="170" x14ac:dyDescent="0.2">
      <c r="A3" s="5" t="s">
        <v>1539</v>
      </c>
      <c r="B3" s="1" t="str">
        <f>CookingComponents!B2&amp;" "&amp;CookingComponents!B8&amp;" "&amp;CookingComponents!B22&amp;" "&amp;CookingComponents!B25&amp;" "&amp;CookingComponents!B26&amp;" "&amp;CookingComponents!B28</f>
        <v>Fry your onions and spices with a bit of oil. Add your condiments. Add veggies to the pan. Mix all your ingredients with your boiled grains/noodles. Before toppings, taste and balance your dish by adding salt, sugar, sour, or umami ingredients for increased flavor. Too sour? Add salt and sugar. Too spicy? Add oil and sugar. Too Salty? Add bitter ingredients or fresh herbs. Add toppings and enjoy!</v>
      </c>
      <c r="C3" s="1" t="str">
        <f>CookingComponents!C2&amp;" "&amp;CookingComponents!C8&amp;" "&amp;CookingComponents!C22</f>
        <v>Shortcut recipe: Fry onions and spices on a pan. Add veggies. Mix with cooked grains/noodles.</v>
      </c>
      <c r="D3">
        <f t="shared" si="0"/>
        <v>93</v>
      </c>
      <c r="E3" s="1" t="str">
        <f>CookingComponents!E2&amp;" "&amp;CookingComponents!E8&amp;" "&amp;CookingComponents!E22</f>
        <v>Shortcut opskrift: Steg løg og krydderier på panden. Tilføj grøntsager Bland med kogte nudler/bælgfrugter/korn.</v>
      </c>
    </row>
    <row r="4" spans="1:5" ht="255" x14ac:dyDescent="0.2">
      <c r="A4" s="5" t="s">
        <v>604</v>
      </c>
      <c r="B4" s="1" t="str">
        <f>CookingComponents!B2&amp;" "&amp;CookingComponents!B8&amp;" "&amp;CookingComponents!B23&amp;" "&amp;CookingComponents!B25&amp;" "&amp;CookingComponents!B26&amp;" "&amp;CookingComponents!B28</f>
        <v>Fry your onions and spices with a bit of oil. Add your condiments. Add veggies to the pan. Add 1/2 cup of the pasta water to the frying pan for a creamier consistency. Mix all your ingredients with your boiled pasta. Before toppings, taste and balance your dish by adding salt, sugar, sour, or umami ingredients for increased flavor. Too sour? Add salt and sugar. Too spicy? Add oil and sugar. Too Salty? Add bitter ingredients or fresh herbs. Add toppings and enjoy!</v>
      </c>
      <c r="C4" s="1" t="str">
        <f>CookingComponents!C2&amp;" "&amp;CookingComponents!C23</f>
        <v>Shortcut recipe: Fry onions and spices on a pan. Mix with cooked pasta, including a cup of the pasta water (for creamy consistency).</v>
      </c>
      <c r="D4">
        <f t="shared" si="0"/>
        <v>132</v>
      </c>
      <c r="E4" s="1" t="str">
        <f>CookingComponents!E2&amp;" "&amp;CookingComponents!E23</f>
        <v>Shortcut opskrift: Steg løg og krydderier på panden. Ibland den kogte pasta med en kop pasta vand.</v>
      </c>
    </row>
    <row r="5" spans="1:5" ht="170" x14ac:dyDescent="0.2">
      <c r="A5" s="5" t="s">
        <v>698</v>
      </c>
      <c r="B5" s="1" t="str">
        <f>CookingComponents!B10&amp;" "&amp;CookingComponents!B17&amp;" "&amp;CookingComponents!B25&amp;" "&amp;CookingComponents!B26&amp;" "&amp;CookingComponents!B28</f>
        <v>Wash, cut and mix your base ingredients. Mix in your dressing: Oil, sour ingredients, salt, and sugar. Before toppings, taste and balance your dish by adding salt, sugar, sour, or umami ingredients for increased flavor. Too sour? Add salt and sugar. Too spicy? Add oil and sugar. Too Salty? Add bitter ingredients or fresh herbs. Add toppings and enjoy!</v>
      </c>
      <c r="C5" s="1" t="str">
        <f>CookingComponents!C10&amp;" "&amp;CookingComponents!C25&amp;" "&amp;CookingComponents!C26&amp;" "&amp;CookingComponents!C28</f>
        <v xml:space="preserve">Shortcut recipe: Cut and mix all ingredients. Taste and balance with salt, sugar, sour, and umami.  </v>
      </c>
      <c r="D5">
        <f t="shared" si="0"/>
        <v>100</v>
      </c>
      <c r="E5" s="1" t="str">
        <f>CookingComponents!E10&amp;" "&amp;CookingComponents!E25&amp;" "&amp;CookingComponents!E26&amp;" "&amp;CookingComponents!E28</f>
        <v xml:space="preserve">Shortcut opskrift: Skær og bland alle ingredienser. Smag til med salt, sukker, syre og umami.  </v>
      </c>
    </row>
    <row r="6" spans="1:5" ht="56" customHeight="1" x14ac:dyDescent="0.2">
      <c r="A6" s="5" t="s">
        <v>576</v>
      </c>
      <c r="B6" s="1" t="str">
        <f>CookingComponents!B2&amp;" "&amp;CookingComponents!B8&amp;" "&amp;CookingComponents!B13&amp;" "&amp;CookingComponents!B14&amp;" "&amp;CookingComponents!B28</f>
        <v>Fry your onions and spices with a bit of oil. Add your condiments. Add veggies to the pan. Crack the eggs into a bowl and whisk well with salt and pepper, before adding to the pan. Run a spatula through the middle of the omelette and tilt the pan to fill up with the runny egg. Omelette is done when there's no more runny egg. Add toppings and enjoy!</v>
      </c>
      <c r="C6" s="1" t="str">
        <f>CookingComponents!C2&amp;" "&amp;CookingComponents!C13&amp;" "&amp;CookingComponents!C14</f>
        <v>Shortcut recipe: Fry onions and spices on a pan. Whisk eggs well with salt, then add to pan. Omelette is done when egg isn't runny.</v>
      </c>
      <c r="D6">
        <f t="shared" si="0"/>
        <v>131</v>
      </c>
      <c r="E6" s="1" t="str">
        <f>CookingComponents!E2&amp;" "&amp;CookingComponents!E13&amp;" "&amp;CookingComponents!E14</f>
        <v>Shortcut opskrift: Steg løg og krydderier på panden. Bland æg grundigt med salt og andre smags-ingredienser. Tilføj så til panden. Omeletten er klar, når ægget ikke løber længere.</v>
      </c>
    </row>
    <row r="7" spans="1:5" ht="221" x14ac:dyDescent="0.2">
      <c r="A7" s="5" t="s">
        <v>618</v>
      </c>
      <c r="B7" s="1"/>
      <c r="C7" s="1" t="str">
        <f>CookingComponents!C35</f>
        <v>Shortcut recipe: Make your suco of fried onions, spices, and your choice of paste. Add to pizza with your choice of veggies.</v>
      </c>
      <c r="D7">
        <f t="shared" si="0"/>
        <v>124</v>
      </c>
      <c r="E7" s="1" t="str">
        <f>CookingComponents!E35</f>
        <v>Shortcut opskrift: Smør din pizza sauce i tyndt lag (lavet af løg, krydderier og din sauce stegt på en pande). Tilføj dine grøntsager på toppen.</v>
      </c>
    </row>
    <row r="8" spans="1:5" ht="204" x14ac:dyDescent="0.2">
      <c r="A8" s="5" t="s">
        <v>682</v>
      </c>
      <c r="B8" s="1" t="str">
        <f>CookingComponents!B2&amp;" "&amp;CookingComponents!B7&amp;" "&amp;CookingComponents!B16&amp;" "&amp;CookingComponents!B21&amp;" "&amp;CookingComponents!B25&amp;" "&amp;CookingComponents!B26&amp;" "&amp;CookingComponents!B28</f>
        <v>Fry your onions and spices with a bit of oil. Add your condiments. Add risotto rice to the pan and then slowly add water or stock while stirring. Cook your other ingredients on the side. Once all your ingredients are cooked and ready to eat, mix them. Before toppings, taste and balance your dish by adding salt, sugar, sour, or umami ingredients for increased flavor. Too sour? Add salt and sugar. Too spicy? Add oil and sugar. Too Salty? Add bitter ingredients or fresh herbs. Add toppings and enjoy!</v>
      </c>
      <c r="C8" s="1" t="str">
        <f>CookingComponents!C2&amp;" "&amp;CookingComponents!C7&amp;" "&amp;CookingComponents!C16&amp;" "&amp;CookingComponents!C21</f>
        <v xml:space="preserve">Shortcut recipe: Fry onions and spices on a pan. Add rice with a little wine, then add stock and boiling water gradually.  </v>
      </c>
      <c r="D8">
        <f t="shared" si="0"/>
        <v>123</v>
      </c>
      <c r="E8" s="1" t="str">
        <f>CookingComponents!E2&amp;" "&amp;CookingComponents!E7&amp;" "&amp;CookingComponents!E16&amp;" "&amp;CookingComponents!E21</f>
        <v xml:space="preserve">Shortcut opskrift: Steg løg og krydderier på panden. Tilføj ris med en smule vin. Tilføj kogende vand med buillon gradvist.  </v>
      </c>
    </row>
    <row r="9" spans="1:5" ht="289" x14ac:dyDescent="0.2">
      <c r="A9" s="5" t="s">
        <v>1546</v>
      </c>
      <c r="B9" s="1" t="str">
        <f>CookingComponents!B2&amp;" "&amp;CookingComponents!B8&amp;" "&amp;CookingComponents!B18&amp;" "&amp;CookingComponents!B19&amp;" "&amp;CookingComponents!B25&amp;" "&amp;CookingComponents!B26&amp;" "&amp;CookingComponents!B28</f>
        <v>Fry your onions and spices with a bit of oil. Add your condiments. Add veggies to the pan. Add water with stock/broth. Add a splash of oil, then blend into your desired consistency. Before toppings, taste and balance your dish by adding salt, sugar, sour, or umami ingredients for increased flavor. Too sour? Add salt and sugar. Too spicy? Add oil and sugar. Too Salty? Add bitter ingredients or fresh herbs. Add toppings and enjoy!</v>
      </c>
      <c r="C9" s="1" t="str">
        <f>CookingComponents!C2&amp;" "&amp;CookingComponents!C8&amp;" "&amp;CookingComponents!C18&amp;" "&amp;CookingComponents!C19&amp;" "&amp;CookingComponents!C25</f>
        <v>Shortcut recipe: Fry onions and spices on a pan. Add veggies. Add water with stock/broth. Blend the soup. Taste and balance with salt, sugar, sour, and umami.</v>
      </c>
      <c r="D9">
        <f t="shared" si="0"/>
        <v>158</v>
      </c>
      <c r="E9" s="1" t="str">
        <f>CookingComponents!E2&amp;" "&amp;CookingComponents!E8&amp;" "&amp;CookingComponents!E18&amp;" "&amp;CookingComponents!E19&amp;" "&amp;CookingComponents!E25</f>
        <v>Shortcut opskrift: Steg løg og krydderier på panden. Tilføj grøntsager Til føj vand med buillon. Blend suppen. Smag til med salt, sukker, syre og umami.</v>
      </c>
    </row>
    <row r="10" spans="1:5" ht="255" x14ac:dyDescent="0.2">
      <c r="A10" s="5" t="s">
        <v>1547</v>
      </c>
      <c r="B10" s="1" t="str">
        <f>CookingComponents!B2&amp;" "&amp;CookingComponents!B8&amp;" "&amp;CookingComponents!B18&amp;" "&amp;CookingComponents!B25&amp;" "&amp;CookingComponents!B26&amp;" "&amp;CookingComponents!B28</f>
        <v>Fry your onions and spices with a bit of oil. Add your condiments. Add veggies to the pan. Add water with stock/broth. Before toppings, taste and balance your dish by adding salt, sugar, sour, or umami ingredients for increased flavor. Too sour? Add salt and sugar. Too spicy? Add oil and sugar. Too Salty? Add bitter ingredients or fresh herbs. Add toppings and enjoy!</v>
      </c>
      <c r="C10" s="1" t="str">
        <f>CookingComponents!C2&amp;" "&amp;CookingComponents!C8&amp;" "&amp;CookingComponents!C18&amp;" "&amp;CookingComponents!C25&amp;" "&amp;CookingComponents!C26&amp;" "&amp;CookingComponents!C28</f>
        <v xml:space="preserve">Shortcut recipe: Fry onions and spices on a pan. Add veggies. Add water with stock/broth. Taste and balance with salt, sugar, sour, and umami.  </v>
      </c>
      <c r="D10">
        <f t="shared" si="0"/>
        <v>144</v>
      </c>
      <c r="E10" s="1" t="str">
        <f>CookingComponents!E2&amp;" "&amp;CookingComponents!E8&amp;" "&amp;CookingComponents!E18&amp;" "&amp;CookingComponents!E25&amp;" "&amp;CookingComponents!E26&amp;" "&amp;CookingComponents!E28</f>
        <v xml:space="preserve">Shortcut opskrift: Steg løg og krydderier på panden. Tilføj grøntsager Til føj vand med buillon. Smag til med salt, sukker, syre og umami.  </v>
      </c>
    </row>
    <row r="11" spans="1:5" ht="255" x14ac:dyDescent="0.2">
      <c r="A11" s="5" t="s">
        <v>770</v>
      </c>
      <c r="B11" s="1" t="str">
        <f>CookingComponents!B2&amp;" "&amp;CookingComponents!B8&amp;" "&amp;CookingComponents!B18&amp;" "&amp;CookingComponents!B25&amp;" "&amp;CookingComponents!B26&amp;" "&amp;CookingComponents!B28</f>
        <v>Fry your onions and spices with a bit of oil. Add your condiments. Add veggies to the pan. Add water with stock/broth. Before toppings, taste and balance your dish by adding salt, sugar, sour, or umami ingredients for increased flavor. Too sour? Add salt and sugar. Too spicy? Add oil and sugar. Too Salty? Add bitter ingredients or fresh herbs. Add toppings and enjoy!</v>
      </c>
      <c r="C11" s="1" t="str">
        <f>CookingComponents!C2&amp;" "&amp;CookingComponents!C8&amp;" "&amp;CookingComponents!C18&amp;" "&amp;CookingComponents!C25&amp;" "&amp;CookingComponents!C26&amp;" "&amp;CookingComponents!C28</f>
        <v xml:space="preserve">Shortcut recipe: Fry onions and spices on a pan. Add veggies. Add water with stock/broth. Taste and balance with salt, sugar, sour, and umami.  </v>
      </c>
      <c r="D11">
        <f t="shared" si="0"/>
        <v>144</v>
      </c>
      <c r="E11" s="1" t="str">
        <f>CookingComponents!E2&amp;" "&amp;CookingComponents!E8&amp;" "&amp;CookingComponents!E18&amp;" "&amp;CookingComponents!E25&amp;" "&amp;CookingComponents!E26&amp;" "&amp;CookingComponents!E28</f>
        <v xml:space="preserve">Shortcut opskrift: Steg løg og krydderier på panden. Tilføj grøntsager Til føj vand med buillon. Smag til med salt, sukker, syre og umami.  </v>
      </c>
    </row>
    <row r="12" spans="1:5" ht="74" customHeight="1" x14ac:dyDescent="0.2">
      <c r="A12" s="5" t="s">
        <v>1549</v>
      </c>
      <c r="B12" s="1" t="str">
        <f>CookingComponents!B9&amp;" "&amp;CookingComponents!B21&amp;" "&amp;CookingComponents!B25&amp;" "&amp;CookingComponents!B26&amp;" "&amp;CookingComponents!B28</f>
        <v>Mix your veggies with onions, spices, salt, and oil. Roast at 180 degrees until desired color and texture. Once all your ingredients are cooked and ready to eat, mix them. Before toppings, taste and balance your dish by adding salt, sugar, sour, or umami ingredients for increased flavor. Too sour? Add salt and sugar. Too spicy? Add oil and sugar. Too Salty? Add bitter ingredients or fresh herbs. Add toppings and enjoy!</v>
      </c>
      <c r="C12" s="1" t="str">
        <f>CookingComponents!C9&amp;" "&amp;CookingComponents!C21&amp;" "&amp;CookingComponents!C25&amp;" "&amp;CookingComponents!C26&amp;" "&amp;CookingComponents!C28</f>
        <v xml:space="preserve">Shortcut recipe: Roast veggies with onion, spices, salt, and oil in the oven.  Taste and balance with salt, sugar, sour, and umami.  </v>
      </c>
      <c r="D12">
        <f t="shared" si="0"/>
        <v>133</v>
      </c>
      <c r="E12" s="1" t="str">
        <f>CookingComponents!E9&amp;" "&amp;CookingComponents!E21&amp;" "&amp;CookingComponents!E25&amp;" "&amp;CookingComponents!E26&amp;" "&amp;CookingComponents!E28</f>
        <v xml:space="preserve">Shortcut opskrift: Læg grøntsagerne i ovnen med løg, krydderier, salt og olie.  Smag til med salt, sukker, syre og umami.  </v>
      </c>
    </row>
    <row r="13" spans="1:5" ht="70" customHeight="1" x14ac:dyDescent="0.2">
      <c r="A13" s="5" t="s">
        <v>351</v>
      </c>
      <c r="B13" s="1" t="str">
        <f>CookingComponents!B2&amp;" "&amp;CookingComponents!B11&amp;" "&amp;CookingComponents!B25&amp;" "&amp;CookingComponents!B26&amp;" "&amp;CookingComponents!B28</f>
        <v>Fry your onions and spices with a bit of oil. Add your condiments. Add lentils to the pan, and then slowly add water or stock while stirring. Before toppings, taste and balance your dish by adding salt, sugar, sour, or umami ingredients for increased flavor. Too sour? Add salt and sugar. Too spicy? Add oil and sugar. Too Salty? Add bitter ingredients or fresh herbs. Add toppings and enjoy!</v>
      </c>
      <c r="C13" s="1" t="str">
        <f>CookingComponents!C2&amp;" "&amp;CookingComponents!C11&amp;" "&amp;CookingComponents!C25&amp;" "&amp;CookingComponents!C26&amp;" "&amp;CookingComponents!C28</f>
        <v xml:space="preserve">Shortcut recipe: Fry onions and spices on a pan. Add lentils, then water with stock. Taste and balance with salt, sugar, sour, and umami.  </v>
      </c>
      <c r="D13">
        <f t="shared" si="0"/>
        <v>139</v>
      </c>
      <c r="E13" s="1" t="str">
        <f>CookingComponents!E2&amp;" "&amp;CookingComponents!E11&amp;" "&amp;CookingComponents!E25&amp;" "&amp;CookingComponents!E26&amp;" "&amp;CookingComponents!E28</f>
        <v xml:space="preserve">Shortcut opskrift: Steg løg og krydderier på panden. Tilføj linser, dernæst vand med buillon. Smag til med salt, sukker, syre og umami.  </v>
      </c>
    </row>
    <row r="14" spans="1:5" ht="221" x14ac:dyDescent="0.2">
      <c r="A14" s="5" t="s">
        <v>601</v>
      </c>
      <c r="B14" s="1" t="str">
        <f>CookingComponents!B2&amp;" "&amp;CookingComponents!B8&amp;" "&amp;CookingComponents!B12&amp;" "&amp;CookingComponents!B21&amp;" "&amp;CookingComponents!B25&amp;" "&amp;CookingComponents!B26&amp;" "&amp;CookingComponents!B28</f>
        <v>Fry your onions and spices with a bit of oil. Add your condiments. Add veggies to the pan. Cut your bread in small cubes, mix with oil, salt and pepper and bake in the oven for 10-15 minutes. Once all your ingredients are cooked and ready to eat, mix them. Before toppings, taste and balance your dish by adding salt, sugar, sour, or umami ingredients for increased flavor. Too sour? Add salt and sugar. Too spicy? Add oil and sugar. Too Salty? Add bitter ingredients or fresh herbs. Add toppings and enjoy!</v>
      </c>
      <c r="C14" s="1" t="str">
        <f>CookingComponents!C12</f>
        <v>Shortcut recipe: 50% is bread. Cut bread in cubes, drizzle with oil and salt, and then bake in oven. Cook and add your other ingredients</v>
      </c>
      <c r="D14">
        <f t="shared" si="0"/>
        <v>136</v>
      </c>
      <c r="E14" s="1" t="str">
        <f>CookingComponents!E12</f>
        <v>Shortcut opskrift: 50% er brød. Skær brøddet i kvadrater, tilføj olie og salt og bag i ovnen. Tilføj til de andre ingredienser.</v>
      </c>
    </row>
    <row r="15" spans="1:5" ht="204" x14ac:dyDescent="0.2">
      <c r="A15" s="5" t="s">
        <v>818</v>
      </c>
      <c r="B15" s="1" t="str">
        <f>B11</f>
        <v>Fry your onions and spices with a bit of oil. Add your condiments. Add veggies to the pan. Add water with stock/broth. Before toppings, taste and balance your dish by adding salt, sugar, sour, or umami ingredients for increased flavor. Too sour? Add salt and sugar. Too spicy? Add oil and sugar. Too Salty? Add bitter ingredients or fresh herbs. Add toppings and enjoy!</v>
      </c>
      <c r="C15" s="1" t="str">
        <f>CookingComponents!C2&amp;" "&amp;CookingComponents!C8&amp;" "&amp;CookingComponents!C25</f>
        <v>Shortcut recipe: Fry onions and spices on a pan. Add veggies. Taste and balance with salt, sugar, sour, and umami.</v>
      </c>
      <c r="D15">
        <f t="shared" si="0"/>
        <v>114</v>
      </c>
      <c r="E15" s="1" t="str">
        <f>CookingComponents!E2&amp;" "&amp;CookingComponents!E8&amp;" "&amp;CookingComponents!E25</f>
        <v>Shortcut opskrift: Steg løg og krydderier på panden. Tilføj grøntsager Smag til med salt, sukker, syre og umami.</v>
      </c>
    </row>
    <row r="16" spans="1:5" ht="289" x14ac:dyDescent="0.2">
      <c r="A16" s="5" t="s">
        <v>119</v>
      </c>
      <c r="B16" s="1" t="str">
        <f>B9</f>
        <v>Fry your onions and spices with a bit of oil. Add your condiments. Add veggies to the pan. Add water with stock/broth. Add a splash of oil, then blend into your desired consistency. Before toppings, taste and balance your dish by adding salt, sugar, sour, or umami ingredients for increased flavor. Too sour? Add salt and sugar. Too spicy? Add oil and sugar. Too Salty? Add bitter ingredients or fresh herbs. Add toppings and enjoy!</v>
      </c>
      <c r="C16" s="4" t="str">
        <f>CookingComponents!C2&amp;" "&amp;CookingComponents!C33&amp;" "&amp;CookingComponents!C18&amp;" "&amp;CookingComponents!C19&amp;" "&amp;CookingComponents!C25</f>
        <v>Shortcut recipe: Fry onions and spices on a pan. Add the beets Add water with stock/broth. Blend the soup. Taste and balance with salt, sugar, sour, and umami.</v>
      </c>
      <c r="D16">
        <f t="shared" si="0"/>
        <v>159</v>
      </c>
      <c r="E16" s="4" t="str">
        <f>CookingComponents!E2&amp;" "&amp;CookingComponents!E33&amp;" "&amp;CookingComponents!E18&amp;" "&amp;CookingComponents!E19&amp;" "&amp;CookingComponents!E25</f>
        <v>Shortcut opskrift: Steg løg og krydderier på panden. Tilføj rødbederne. Til føj vand med buillon. Blend suppen. Smag til med salt, sukker, syre og umami.</v>
      </c>
    </row>
    <row r="17" spans="1:5" ht="67" customHeight="1" x14ac:dyDescent="0.2">
      <c r="A17" s="5" t="s">
        <v>1553</v>
      </c>
      <c r="B17" s="1" t="str">
        <f>CookingComponents!B6&amp;" "&amp;CookingComponents!B2&amp;" "&amp;CookingComponents!B8&amp;" "&amp;CookingComponents!B22&amp;" "&amp;CookingComponents!B25&amp;" "&amp;CookingComponents!B26&amp;" "&amp;CookingComponents!B28</f>
        <v>Boil your rice and let them cool. Fry your onions and spices with a bit of oil. Add your condiments. Add veggies to the pan. Mix all your ingredients with your boiled grains/noodles. Before toppings, taste and balance your dish by adding salt, sugar, sour, or umami ingredients for increased flavor. Too sour? Add salt and sugar. Too spicy? Add oil and sugar. Too Salty? Add bitter ingredients or fresh herbs. Add toppings and enjoy!</v>
      </c>
      <c r="C17" s="4" t="str">
        <f>CookingComponents!C2&amp;" "&amp;CookingComponents!C35&amp;" "&amp;CookingComponents!C34</f>
        <v>Shortcut recipe: Fry onions and spices on a pan. Shortcut recipe: Make your suco of fried onions, spices, and your choice of paste. Add to pizza with your choice of veggies. Add an umami sauce, sugar, and cold rice that was cooked the day before, and fry for a few more minutes.</v>
      </c>
      <c r="D17">
        <f t="shared" si="0"/>
        <v>278</v>
      </c>
      <c r="E17" s="4" t="str">
        <f>CookingComponents!E2&amp;" "&amp;CookingComponents!E35&amp;" "&amp;CookingComponents!E34</f>
        <v>Shortcut opskrift: Steg løg og krydderier på panden. Shortcut opskrift: Smør din pizza sauce i tyndt lag (lavet af løg, krydderier og din sauce stegt på en pande). Tilføj dine grøntsager på toppen. Tilføj en umami sauce, sukker, og kold ris fra dagen før. Steg i et par minutter</v>
      </c>
    </row>
    <row r="18" spans="1:5" ht="68" customHeight="1" x14ac:dyDescent="0.2">
      <c r="A18" s="5" t="s">
        <v>817</v>
      </c>
      <c r="B18" s="1"/>
      <c r="C18" s="4" t="str">
        <f>CookingComponents!C2&amp;" "&amp;CookingComponents!C8&amp;" "&amp;CookingComponents!C25&amp;" "&amp;CookingComponents!C31</f>
        <v>Shortcut recipe: Fry onions and spices on a pan. Add veggies. Taste and balance with salt, sugar, sour, and umami. Add all to the tacos. Enjoy!</v>
      </c>
      <c r="D18">
        <f t="shared" si="0"/>
        <v>143</v>
      </c>
      <c r="E18" s="4" t="str">
        <f>CookingComponents!E2&amp;" "&amp;CookingComponents!E8&amp;" "&amp;CookingComponents!E25&amp;" "&amp;CookingComponents!E31</f>
        <v>Shortcut opskrift: Steg løg og krydderier på panden. Tilføj grøntsager Smag til med salt, sukker, syre og umami. Tilføj alt i dine tacos.</v>
      </c>
    </row>
    <row r="19" spans="1:5" ht="48" customHeight="1" x14ac:dyDescent="0.2">
      <c r="A19" s="5" t="s">
        <v>1557</v>
      </c>
      <c r="B19" s="1"/>
      <c r="C19" s="4" t="str">
        <f>CookingComponents!C2&amp;" "&amp;CookingComponents!C8&amp;" "&amp;CookingComponents!C25&amp;" "&amp;CookingComponents!C32</f>
        <v>Shortcut recipe: Fry onions and spices on a pan. Add veggies. Taste and balance with salt, sugar, sour, and umami. Soften rice paper in warm water, then fill with your ingredients. Enjoy!</v>
      </c>
      <c r="D19">
        <f t="shared" si="0"/>
        <v>187</v>
      </c>
      <c r="E19" s="4" t="str">
        <f>CookingComponents!E2&amp;" "&amp;CookingComponents!E8&amp;" "&amp;CookingComponents!E25&amp;" "&amp;CookingComponents!E32</f>
        <v>Shortcut opskrift: Steg løg og krydderier på panden. Tilføj grøntsager Smag til med salt, sukker, syre og umami. Blødgør rispapiret i varmt vand, fyld så med dine ingredienser.</v>
      </c>
    </row>
    <row r="20" spans="1:5" ht="221" x14ac:dyDescent="0.2">
      <c r="A20" s="5" t="s">
        <v>1556</v>
      </c>
      <c r="B20" s="1"/>
      <c r="C20" s="4" t="str">
        <f>CookingComponents!C2&amp;" "&amp;CookingComponents!C36</f>
        <v>Shortcut recipe: Fry onions and spices on a pan. Add rice and toast them briefly. Then add water (with stock) to boil as usual.</v>
      </c>
      <c r="D20">
        <f t="shared" si="0"/>
        <v>127</v>
      </c>
      <c r="E20" s="4" t="str">
        <f>CookingComponents!E2&amp;" "&amp;CookingComponents!E36</f>
        <v>Shortcut opskrift: Steg løg og krydderier på panden. Tilføj ris og rist dem kort. Tilføj vand med buillon og kog risene.</v>
      </c>
    </row>
    <row r="21" spans="1:5" ht="187" x14ac:dyDescent="0.2">
      <c r="A21" s="5" t="s">
        <v>1555</v>
      </c>
      <c r="B21" s="1"/>
      <c r="C21" s="4" t="str">
        <f>CookingComponents!C37</f>
        <v>Shortcut recipe: Bake whole potato for up to an hour in oven, scoop out half the inside, and add your filling</v>
      </c>
      <c r="D21">
        <f t="shared" si="0"/>
        <v>109</v>
      </c>
      <c r="E21" s="4" t="str">
        <f>CookingComponents!E37</f>
        <v>Shortcut opskrift: Bag den hele kartoffel i op til en time i ovnen. Grav halvdelen af indmaden ud og tilføj din filling.</v>
      </c>
    </row>
    <row r="22" spans="1:5" ht="289" x14ac:dyDescent="0.2">
      <c r="A22" s="5" t="s">
        <v>1554</v>
      </c>
      <c r="B22" s="1"/>
      <c r="C22" s="4" t="str">
        <f>CookingComponents!C38&amp;" "&amp;CookingComponents!C5&amp;" "&amp;CookingComponents!C25</f>
        <v>Shortcut recipe: Whisk polenta into boiling water (with stock) bit-by-bit. Add your veggies and condiments. Taste and balance with salt, sugar, sour, and umami.</v>
      </c>
      <c r="D22">
        <f t="shared" si="0"/>
        <v>160</v>
      </c>
      <c r="E22" s="4" t="str">
        <f>CookingComponents!E38&amp;" "&amp;CookingComponents!E5&amp;" "&amp;CookingComponents!E25</f>
        <v>Shortcut opskrift: Bag den hele kartoffel i op til en time i ovnen. Grav halvdelen af indmaden ud og tilføj din filling. Tilføj dine grøntsager og saucer. Smag til med salt, sukker, syre og umami.</v>
      </c>
    </row>
    <row r="23" spans="1:5" ht="372" x14ac:dyDescent="0.2">
      <c r="A23" s="5" t="s">
        <v>1631</v>
      </c>
      <c r="B23" s="1"/>
      <c r="C23" s="4" t="str">
        <f>CookingComponents!C2&amp;" "&amp;CookingComponents!C8&amp;" "&amp;CookingComponents!C25&amp;" "&amp;CookingComponents!C42&amp;" "&amp;CookingComponents!C43</f>
        <v>Shortcut recipe: Fry onions and spices on a pan. Add veggies. Taste and balance with salt, sugar, sour, and umami. Pluck the leaves off your cabbage/lettuce, to be used as 'tacos'. Add all to the 'tacos'. Enjoy!</v>
      </c>
      <c r="D23">
        <f t="shared" si="0"/>
        <v>211</v>
      </c>
      <c r="E23" s="4" t="str">
        <f>CookingComponents!E2&amp;" "&amp;CookingComponents!E8&amp;" "&amp;CookingComponents!E25&amp;" "&amp;CookingComponents!E42&amp;" "&amp;CookingComponents!E43</f>
        <v>Shortcut opskrift: Steg løg og krydderier på panden. Tilføj grøntsager Smag til med salt, sukker, syre og umami. Pluk bladene forsigtigt af dine kål/salat for at bruge dem som 'tacos'. Tilføj i din 'tacos'.</v>
      </c>
    </row>
    <row r="24" spans="1:5" ht="272" x14ac:dyDescent="0.2">
      <c r="A24" s="5" t="s">
        <v>155</v>
      </c>
      <c r="B24" s="1"/>
      <c r="C24" s="4" t="str">
        <f>CookingComponents!C2&amp;" "&amp;CookingComponents!C8&amp;" "&amp;CookingComponents!C25&amp;" "&amp;CookingComponents!C44</f>
        <v>Shortcut recipe: Fry onions and spices on a pan. Add veggies. Taste and balance with salt, sugar, sour, and umami. Add all in the burritos. Enjoy</v>
      </c>
      <c r="D24">
        <f t="shared" si="0"/>
        <v>145</v>
      </c>
      <c r="E24" s="4" t="str">
        <f>CookingComponents!E2&amp;" "&amp;CookingComponents!E8&amp;" "&amp;CookingComponents!E25&amp;" "&amp;CookingComponents!E44</f>
        <v>Shortcut opskrift: Steg løg og krydderier på panden. Tilføj grøntsager Smag til med salt, sukker, syre og umami. Tilføj alt i dine burritos.</v>
      </c>
    </row>
    <row r="25" spans="1:5" ht="187" x14ac:dyDescent="0.2">
      <c r="A25" s="5" t="s">
        <v>626</v>
      </c>
      <c r="B25" s="1"/>
      <c r="C25" s="4" t="str">
        <f>CookingComponents!C51</f>
        <v>Shortcut recipe: Add boiling water to oats with a bit of salt. Wait 5 minutes. Then add your condiments</v>
      </c>
      <c r="D25">
        <f t="shared" si="0"/>
        <v>103</v>
      </c>
      <c r="E25" s="4" t="str">
        <f>CookingComponents!E51</f>
        <v>Shortcut opskrift: Tilføj kogende vand og en smule salt - vent 5 minutter… vupti!</v>
      </c>
    </row>
    <row r="26" spans="1:5" ht="272" x14ac:dyDescent="0.2">
      <c r="A26" s="5" t="s">
        <v>292</v>
      </c>
      <c r="B26" s="1"/>
      <c r="C26" s="1" t="str">
        <f>CookingComponents!C2&amp;" "&amp;CookingComponents!C39&amp;" "&amp;CookingComponents!C25</f>
        <v>Shortcut recipe: Fry onions and spices on a pan. Add rice and boiling water with stock, let simmer. Taste and balance with salt, sugar, sour, and umami.</v>
      </c>
      <c r="D26">
        <f t="shared" si="0"/>
        <v>152</v>
      </c>
      <c r="E26" s="1" t="str">
        <f>CookingComponents!E2&amp;" "&amp;CookingComponents!E39&amp;" "&amp;CookingComponents!E25</f>
        <v>Shortcut opskrift: Steg løg og krydderier på panden. Tilføj ris og kogt vand med buillon og lad simre. Smag til med salt, sukker, syre og umami.</v>
      </c>
    </row>
    <row r="27" spans="1:5" ht="289" x14ac:dyDescent="0.2">
      <c r="A27" s="5" t="s">
        <v>1552</v>
      </c>
      <c r="B27" s="1"/>
      <c r="C27" s="4" t="str">
        <f>CookingComponents!C40&amp;" "&amp;CookingComponents!C25</f>
        <v>Shortcut recipe: Grate or use your food processor to make it into 'rice'. Add your spices and condiments. Taste and balance with salt, sugar, sour, and umami.</v>
      </c>
      <c r="D27">
        <f t="shared" si="0"/>
        <v>158</v>
      </c>
      <c r="E27" s="4" t="str">
        <f>CookingComponents!E40&amp;" "&amp;CookingComponents!E25</f>
        <v>Shortcut opskrift: Riv eller brug food processeren til at lave 'ris' af din grøntsag. Tilføj dine andre ingredienser. Smag til med salt, sukker, syre og umami.</v>
      </c>
    </row>
    <row r="28" spans="1:5" ht="306" x14ac:dyDescent="0.2">
      <c r="A28" s="5" t="s">
        <v>400</v>
      </c>
      <c r="B28" s="1"/>
      <c r="C28" s="4" t="str">
        <f>CookingComponents!C41&amp;" "&amp;CookingComponents!C25</f>
        <v>Shortcut recipe: Add veggies with bread to a blender and pulse to the desired texture. Cool it down in fridge. Taste and balance with salt, sugar, sour, and umami.</v>
      </c>
      <c r="D28">
        <f t="shared" si="0"/>
        <v>163</v>
      </c>
      <c r="E28" s="4" t="str">
        <f>CookingComponents!E41&amp;" "&amp;CookingComponents!E25</f>
        <v>Shortcut opskrift: Tilføj grøntsager med brød i blenderen og glend til din ønskede tekstur. Lad hvile i køleren i mindst en halv time. Smag til med salt, sukker, syre og umami.</v>
      </c>
    </row>
    <row r="29" spans="1:5" ht="187" x14ac:dyDescent="0.2">
      <c r="A29" s="5" t="s">
        <v>521</v>
      </c>
      <c r="B29" s="1"/>
      <c r="C29" s="4" t="str">
        <f>CookingComponents!C45</f>
        <v>Shortcut recipe: Mash your veggie with a blender or fork, mixing in some oil or butter for creaminess.</v>
      </c>
      <c r="D29">
        <f t="shared" si="0"/>
        <v>102</v>
      </c>
      <c r="E29" s="4" t="str">
        <f>CookingComponents!E45</f>
        <v>Shortcut opskrift: Blend dine grøntsager med lidt smør/olie med en gaffel eller en blender.</v>
      </c>
    </row>
    <row r="30" spans="1:5" ht="221" x14ac:dyDescent="0.2">
      <c r="A30" s="5" t="s">
        <v>545</v>
      </c>
      <c r="B30" s="1"/>
      <c r="C30" s="4" t="str">
        <f>CookingComponents!C46</f>
        <v>Shortcut recipe: Alternate between layers of thin-sliced veggies and sauce. Bake in the oven for 30+ minutes (180 degrees).</v>
      </c>
      <c r="D30">
        <f t="shared" si="0"/>
        <v>123</v>
      </c>
      <c r="E30" s="4" t="str">
        <f>CookingComponents!E46</f>
        <v>Shortcut opskrift: Skift mellem lag a tyndt skårne grøntsager og din sovs. Bag i ovnen i +30 minutter ved 180 grader.</v>
      </c>
    </row>
    <row r="31" spans="1:5" ht="204" x14ac:dyDescent="0.2">
      <c r="A31" s="5" t="s">
        <v>487</v>
      </c>
      <c r="B31" s="1"/>
      <c r="C31" s="4" t="str">
        <f>CookingComponents!C47</f>
        <v>Shortcut recipe: Alternate between layers of pasta and sauce. Bake in the oven for 30+ minutes (180 degrees).</v>
      </c>
      <c r="D31">
        <f t="shared" si="0"/>
        <v>109</v>
      </c>
      <c r="E31" s="4" t="str">
        <f>CookingComponents!E47</f>
        <v>Shortcut opskrift: Skift mellem lag a pasta og din sovs. Bag i ovnen i +30 minutter ved 180 grader.</v>
      </c>
    </row>
    <row r="32" spans="1:5" ht="204" x14ac:dyDescent="0.2">
      <c r="A32" s="5" t="s">
        <v>192</v>
      </c>
      <c r="B32" s="1"/>
      <c r="C32" s="4" t="str">
        <f>CookingComponents!C48</f>
        <v>Shortcut recipe: Put a layer of cooked grains on-top of your sauce. Bake in the oven for 30+ minutes (180 degrees)</v>
      </c>
      <c r="D32">
        <f t="shared" si="0"/>
        <v>114</v>
      </c>
      <c r="E32" s="4" t="str">
        <f>CookingComponents!E48</f>
        <v>Shortcut opskrift: Put et lag af dine kogte korn på toppen. Bag i ovnen i +30 minutter ved 180 grader.</v>
      </c>
    </row>
    <row r="33" spans="1:5" ht="255" x14ac:dyDescent="0.2">
      <c r="A33" s="5" t="s">
        <v>651</v>
      </c>
      <c r="B33" s="1"/>
      <c r="C33" s="4" t="str">
        <f>CookingComponents!C49</f>
        <v>Shortcut recipe: Add your ingredients into a pie crust, then pour a whisked egg mixture on top. Bake for 30+ minutes (180 degrees).</v>
      </c>
      <c r="D33">
        <f t="shared" si="0"/>
        <v>131</v>
      </c>
      <c r="E33" s="4" t="str">
        <f>CookingComponents!E49</f>
        <v>Shortcut opskrift: Tilføj dine ingredineser i din tærtedej. Hæld et rørt æg ind i blandingen. Bag i ovnen i +30 minutter ved 180 grader.</v>
      </c>
    </row>
    <row r="34" spans="1:5" ht="272" x14ac:dyDescent="0.2">
      <c r="A34" s="5" t="s">
        <v>1548</v>
      </c>
      <c r="B34" s="1"/>
      <c r="C34" s="4" t="str">
        <f>CookingComponents!C50</f>
        <v>Shortcut recipe: Mash ingredients with a fork or a blender. Shape patties in your hands and fry them on a pan with oil (5 minutes on each side).</v>
      </c>
      <c r="D34">
        <f t="shared" si="0"/>
        <v>144</v>
      </c>
      <c r="E34" s="4" t="str">
        <f>CookingComponents!E50</f>
        <v>Shortcut opskrift: Blend ingredienser med en gaffel eller blender. Form bøfferne i dine hænder og steg dem (5-10 minutter per side).</v>
      </c>
    </row>
    <row r="35" spans="1:5" ht="204" x14ac:dyDescent="0.2">
      <c r="A35" s="5" t="s">
        <v>354</v>
      </c>
      <c r="B35" s="1"/>
      <c r="C35" s="4" t="str">
        <f>CookingComponents!C52&amp;" "&amp;CookingComponents!C25</f>
        <v>Shortcut recipe: Cook then mash with a blender or fork. Taste and balance with salt, sugar, sour, and umami.</v>
      </c>
      <c r="D35">
        <f t="shared" si="0"/>
        <v>108</v>
      </c>
      <c r="E35" s="4" t="str">
        <f>CookingComponents!E52&amp;" "&amp;CookingComponents!E25</f>
        <v>Shortcut opskrift: Kog og blend derefter med en gaffel eller blender. Smag til med salt, sukker, syre og umami.</v>
      </c>
    </row>
    <row r="36" spans="1:5" ht="153" x14ac:dyDescent="0.2">
      <c r="A36" s="5" t="s">
        <v>442</v>
      </c>
      <c r="B36" s="1"/>
      <c r="C36" s="4" t="str">
        <f>CookingComponents!C53&amp;" "&amp;CookingComponents!C17</f>
        <v>Shortcut recipe: Cut and mix ingredients. Mash with fork. Add oil, sours, salt, and sugar.</v>
      </c>
      <c r="D36">
        <f t="shared" si="0"/>
        <v>90</v>
      </c>
      <c r="E36" s="4" t="str">
        <f>CookingComponents!E53&amp;" "&amp;CookingComponents!E17</f>
        <v>Shortcut opskrift: Skær og bland ingredienser. Blend med en gaffel eller blender. Smag til med olie, syre, salt og sukker.</v>
      </c>
    </row>
    <row r="38" spans="1:5" ht="289" x14ac:dyDescent="0.2">
      <c r="A38" s="5" t="s">
        <v>1645</v>
      </c>
      <c r="C38" s="1" t="str">
        <f>CookingComponents!C55</f>
        <v>Shortcut recipe: Grate ingredients and mix them with salt, flour, and eggs. Shape patties in your hands and fry them on a pan with oil (5 minutes on each side).</v>
      </c>
      <c r="D38">
        <f t="shared" ref="D38:D62" si="1">LEN(C38)</f>
        <v>160</v>
      </c>
      <c r="E38" s="1" t="str">
        <f>CookingComponents!E55</f>
        <v>Shortcut opskrift: Riv ingredienser og bland med salt, mel og æg. Form bøfferne i dine hænder og steg dem (5 minutter per side).</v>
      </c>
    </row>
    <row r="39" spans="1:5" ht="255" x14ac:dyDescent="0.2">
      <c r="A39" s="5" t="s">
        <v>125</v>
      </c>
      <c r="C39" s="1" t="str">
        <f>CookingComponents!C56</f>
        <v>Shortcut recipe: knead in the wet ingredients into the dry until no flour pockets remain. Raise for 5 hours and bake for 1 hour (180 degrees).</v>
      </c>
      <c r="D39">
        <f t="shared" si="1"/>
        <v>142</v>
      </c>
      <c r="E39" s="1" t="str">
        <f>CookingComponents!E56</f>
        <v>Shortcut opskrift: Ælt de våde ingredienser indi ide tørre, indtil der ikke er mel-lommer. Hæv i mindst 5 timer, bag i ovnen i en time (180 grader).</v>
      </c>
    </row>
    <row r="40" spans="1:5" ht="102" x14ac:dyDescent="0.2">
      <c r="A40" s="5" t="s">
        <v>1634</v>
      </c>
      <c r="C40" s="1" t="str">
        <f>CookingComponents!C57</f>
        <v>Shortcut recipe: Mix ingredients and stir around with a fork.</v>
      </c>
      <c r="D40">
        <f t="shared" si="1"/>
        <v>61</v>
      </c>
      <c r="E40" s="1" t="str">
        <f>CookingComponents!E57</f>
        <v>Shortcut opskrift: Bland ingredienser og rør rundt med en gaffel.</v>
      </c>
    </row>
    <row r="41" spans="1:5" ht="238" x14ac:dyDescent="0.2">
      <c r="A41" s="5" t="s">
        <v>662</v>
      </c>
      <c r="C41" s="1" t="str">
        <f>CookingComponents!C58</f>
        <v>Shortcut recipe: You can both fry the veggies with onions and spices in the oven (25 minutes, 180 degrees) or the frying pan (15 minutes)</v>
      </c>
      <c r="D41">
        <f t="shared" si="1"/>
        <v>137</v>
      </c>
      <c r="E41" s="1" t="str">
        <f>CookingComponents!E58</f>
        <v>Shortcut opskrift: Du kan både stege ingredienserne (15 minutter) eller bage dem i ovnen (25 minutter).</v>
      </c>
    </row>
    <row r="42" spans="1:5" ht="255" x14ac:dyDescent="0.2">
      <c r="A42" s="5" t="s">
        <v>1635</v>
      </c>
      <c r="C42" s="1" t="str">
        <f>CookingComponents!C59</f>
        <v>Shortcut recipe: Gently mix the wet ingredients into the dry. Bake in oven until a toothpick comes out clean when pricking them (about 30 minutes)</v>
      </c>
      <c r="D42">
        <f t="shared" si="1"/>
        <v>146</v>
      </c>
      <c r="E42" s="1" t="str">
        <f>CookingComponents!E59</f>
        <v>Shortcut opskrift: Ælt de våde ingredienser indi i de tørre nænsomt. Bag i ovnen indtil en tandstik kan komme ud af dem uden dej sidder fast.</v>
      </c>
    </row>
    <row r="43" spans="1:5" ht="255" x14ac:dyDescent="0.2">
      <c r="A43" s="5" t="s">
        <v>1643</v>
      </c>
      <c r="C43" s="1" t="str">
        <f>CookingComponents!C60</f>
        <v>Shortcut recipe: Gently mix the wet ingredients into the dry. Bake in oven until a toothpick comes out clean when pricking them (about 30 minutes)</v>
      </c>
      <c r="D43">
        <f t="shared" si="1"/>
        <v>146</v>
      </c>
      <c r="E43" s="1" t="str">
        <f>CookingComponents!E60</f>
        <v>Shortcut opskrift: Ælt de våde ingredienser indi i de tørre nænsomt. Bag i ovnen indtil en tandstik kan komme ud af dem uden dej sidder fast.</v>
      </c>
    </row>
    <row r="44" spans="1:5" ht="289" x14ac:dyDescent="0.2">
      <c r="A44" s="5" t="s">
        <v>1638</v>
      </c>
      <c r="C44" s="1" t="str">
        <f>CookingComponents!C2&amp;" "&amp;CookingComponents!C5&amp;" "&amp;CookingComponents!C61&amp;" "&amp;CookingComponents!C25</f>
        <v>Shortcut recipe: Fry onions and spices on a pan. Add your veggies and condiments. Mix with cooked pasta. Taste and balance with salt, sugar, sour, and umami.</v>
      </c>
      <c r="D44">
        <f t="shared" si="1"/>
        <v>157</v>
      </c>
      <c r="E44" s="1" t="str">
        <f>CookingComponents!E2&amp;" "&amp;CookingComponents!E5&amp;" "&amp;CookingComponents!E61&amp;" "&amp;CookingComponents!E25</f>
        <v>Shortcut opskrift: Steg løg og krydderier på panden. Tilføj dine grøntsager og saucer. Bland med kogt pasta. Smag til med salt, sukker, syre og umami.</v>
      </c>
    </row>
    <row r="45" spans="1:5" ht="170" x14ac:dyDescent="0.2">
      <c r="A45" s="5" t="s">
        <v>1639</v>
      </c>
      <c r="C45" s="1" t="str">
        <f>CookingComponents!C62</f>
        <v>Shortcut recipe: Cook and arrange ingredients seperately in the bowl for a beautiful impression.</v>
      </c>
      <c r="D45">
        <f t="shared" si="1"/>
        <v>96</v>
      </c>
      <c r="E45" s="1" t="str">
        <f>CookingComponents!E62</f>
        <v>Shortcut opskrift: Kog og arranger ingredienser adskilt og malerisk i en skål.</v>
      </c>
    </row>
    <row r="46" spans="1:5" ht="153" x14ac:dyDescent="0.2">
      <c r="A46" s="5" t="s">
        <v>1640</v>
      </c>
      <c r="C46" s="1" t="str">
        <f>CookingComponents!C63</f>
        <v>Shortcut recipe: Prepare your ingredients seperately and add as layers on the bread.</v>
      </c>
      <c r="D46">
        <f t="shared" si="1"/>
        <v>84</v>
      </c>
      <c r="E46" s="1" t="str">
        <f>CookingComponents!E63</f>
        <v>Shortcut opskrift: Forbered dine ingredienser sperat og put på brøddet i lag.</v>
      </c>
    </row>
    <row r="47" spans="1:5" ht="272" x14ac:dyDescent="0.2">
      <c r="A47" s="5" t="s">
        <v>173</v>
      </c>
      <c r="C47" s="1" t="str">
        <f>CookingComponents!C64</f>
        <v>Shortcut recipe: Fold the dry ingredients gently into the wet ingredients. Bake at 180°C until a toothpick inserted in the middle comes out clean (about 40 minutes).</v>
      </c>
      <c r="D47">
        <f t="shared" si="1"/>
        <v>165</v>
      </c>
      <c r="E47" s="1" t="str">
        <f>CookingComponents!E64</f>
        <v>Shortcut opskrift: Fold de tørre ingredienser ind i de våde. Bag i ovnen indtil en tandstik kan komme ud af dem uden dej sidder fast (ca 40 minutter).</v>
      </c>
    </row>
    <row r="48" spans="1:5" ht="306" x14ac:dyDescent="0.2">
      <c r="A48" s="5" t="s">
        <v>1641</v>
      </c>
      <c r="C48" s="1" t="str">
        <f>CookingComponents!C65</f>
        <v>Shortcut recipe: Mash until reaches a cookie dough-like consistency. Add a little more wet or dry ingredients if needed to get the right texture. Form into balls and enjoy!</v>
      </c>
      <c r="D48">
        <f t="shared" si="1"/>
        <v>172</v>
      </c>
      <c r="E48" s="1" t="str">
        <f>CookingComponents!E65</f>
        <v>Shortcut opskrift: Ælt indtil konsistensen minder om kagedej. Form indtil kugler.</v>
      </c>
    </row>
    <row r="49" spans="1:5" ht="255" x14ac:dyDescent="0.2">
      <c r="A49" s="5" t="s">
        <v>210</v>
      </c>
      <c r="C49" s="1" t="str">
        <f>CookingComponents!C66</f>
        <v>Shortcut recipe: Bake crust for 10 minutes, then add 'cheese' in the springform, and bake for another 45 minutes. Put in fridge overnight.</v>
      </c>
      <c r="D49">
        <f t="shared" si="1"/>
        <v>138</v>
      </c>
      <c r="E49" s="1" t="str">
        <f>CookingComponents!E66</f>
        <v>Shortcut opskrift: Bag dejen i 10 minutter, tilføj derefter ost i springformen og bag i yderligere 45 mintter. Put i køleren over natten.</v>
      </c>
    </row>
    <row r="50" spans="1:5" ht="323" x14ac:dyDescent="0.2">
      <c r="A50" s="5" t="s">
        <v>1644</v>
      </c>
      <c r="C50" s="1" t="str">
        <f>CookingComponents!C67</f>
        <v>Shortcut recipe: Drop spoonfuls of dough onto a baking sheet, evenly spaced out. Bake for 10 minutes at 160°C. The cookies will still be soft, but will firm up during cooling.</v>
      </c>
      <c r="D50">
        <f t="shared" si="1"/>
        <v>175</v>
      </c>
      <c r="E50" s="1" t="str">
        <f>CookingComponents!E67</f>
        <v>Shortcut opskrift: Drop skefulde dej på et bagepapir fordelt ligeligt. Bag ved 160 grader i 10 mintter. De vil være bløde først men fastere, når de køler ned.</v>
      </c>
    </row>
    <row r="51" spans="1:5" ht="204" x14ac:dyDescent="0.2">
      <c r="A51" s="5" t="s">
        <v>582</v>
      </c>
      <c r="C51" s="1" t="str">
        <f>CookingComponents!C2&amp;" "&amp;CookingComponents!C68</f>
        <v>Shortcut recipe: Fry onions and spices on a pan. Add barley with a little wine, then add stock and boiling water gradually.</v>
      </c>
      <c r="D51">
        <f t="shared" si="1"/>
        <v>123</v>
      </c>
      <c r="E51" s="1" t="str">
        <f>CookingComponents!E2&amp;" "&amp;CookingComponents!E68</f>
        <v>Shortcut opskrift: Steg løg og krydderier på panden. Tilføj byg med en smule vin. Tilføj så buillon og vand langsomt.</v>
      </c>
    </row>
    <row r="52" spans="1:5" ht="204" x14ac:dyDescent="0.2">
      <c r="A52" s="5" t="s">
        <v>597</v>
      </c>
      <c r="C52" s="1" t="str">
        <f>CookingComponents!C69</f>
        <v>Shortcut recipe: Mix ingredients gently in a bowl. Heat a pan with oil or butter. Add in thin layers. 2 minutes per side.</v>
      </c>
      <c r="D52">
        <f t="shared" si="1"/>
        <v>121</v>
      </c>
      <c r="E52" s="1" t="str">
        <f>CookingComponents!E69</f>
        <v>Shortcut opskrift: Bland ingredienserne nænsomt i en skål. Varn en pande med olie/smør og tilføj dejen i små lag. 2 minutter per side.</v>
      </c>
    </row>
    <row r="53" spans="1:5" ht="306" x14ac:dyDescent="0.2">
      <c r="A53" s="5" t="s">
        <v>367</v>
      </c>
      <c r="C53" s="1" t="str">
        <f>CookingComponents!C4&amp;" "&amp;CookingComponents!C70</f>
        <v xml:space="preserve"> Shortcut recipe: Mash ingredients into a hummus with a fork or a blender. Shape patties in your hands and fry them on a pan with oil (5 minutes on each side).</v>
      </c>
      <c r="D53">
        <f t="shared" si="1"/>
        <v>159</v>
      </c>
      <c r="E53" s="1" t="str">
        <f>CookingComponents!E4&amp;" "&amp;CookingComponents!E70</f>
        <v xml:space="preserve"> Shortcut opskrift. Blend ingredienserne til hummus med en ske eller blender. Form bøfferne i hænderne og steg i olie ca 5 minutter per side.</v>
      </c>
    </row>
    <row r="54" spans="1:5" ht="255" x14ac:dyDescent="0.2">
      <c r="A54" s="5" t="s">
        <v>455</v>
      </c>
      <c r="C54" s="1" t="str">
        <f>CookingComponents!C5&amp;" "&amp;CookingComponents!C71</f>
        <v>Add your veggies and condiments. Shortcut recipe: Mix cooked chickpeas with rest of ingredients. Mash with a blender or fork, and add salt and lemon to taste.</v>
      </c>
      <c r="D54">
        <f t="shared" si="1"/>
        <v>158</v>
      </c>
      <c r="E54" s="1" t="str">
        <f>CookingComponents!E5&amp;" "&amp;CookingComponents!E71</f>
        <v>Tilføj dine grøntsager og saucer. Shortcut opskrift: Bland kogte kikærter med resten af ingredienserne. Blend med en gaffel eller blender. Smag til med citron og salt.</v>
      </c>
    </row>
    <row r="55" spans="1:5" ht="35" customHeight="1" x14ac:dyDescent="0.2">
      <c r="A55" s="5" t="s">
        <v>717</v>
      </c>
      <c r="C55" s="1" t="str">
        <f>CookingComponents!C2&amp;" "&amp;CookingComponents!C5&amp;" "&amp;CookingComponents!C72</f>
        <v>Shortcut recipe: Fry onions and spices on a pan. Add your veggies and condiments. Use your large spoon to make small wells in the sauce and crack the eggs into each well. Cover the pan and cook for 5-8 minutes.</v>
      </c>
      <c r="D55">
        <f t="shared" si="1"/>
        <v>210</v>
      </c>
      <c r="E55" s="1" t="str">
        <f>CookingComponents!E2&amp;" "&amp;CookingComponents!E5&amp;" "&amp;CookingComponents!E72</f>
        <v>Shortcut opskrift: Steg løg og krydderier på panden. Tilføj dine grøntsager og saucer. Brug en stor ske til at lave små kanaler i suacen og hæld æggene deri. Put låg på og kog i 5-10 minutter.</v>
      </c>
    </row>
    <row r="56" spans="1:5" ht="31" customHeight="1" x14ac:dyDescent="0.2">
      <c r="A56" s="5" t="s">
        <v>1647</v>
      </c>
      <c r="C56" s="1" t="str">
        <f>CookingComponents!C2&amp;" "&amp;CookingComponents!C73</f>
        <v>Shortcut recipe: Fry onions and spices on a pan. Put all veggies and condiments into the veggie and roast it all in the oven for 20-30 minutes or until tender.</v>
      </c>
      <c r="D56">
        <f t="shared" si="1"/>
        <v>159</v>
      </c>
      <c r="E56" s="1" t="str">
        <f>CookingComponents!E2&amp;" "&amp;CookingComponents!E73</f>
        <v>Shortcut opskrift: Steg løg og krydderier på panden. Put all grøntsager og krydderier ind i beholderen og bag i ovnen i 20-30 minutter.</v>
      </c>
    </row>
    <row r="57" spans="1:5" ht="136" x14ac:dyDescent="0.2">
      <c r="A57" s="5" t="s">
        <v>811</v>
      </c>
      <c r="C57" s="1" t="str">
        <f>CookingComponents!C10&amp;" "&amp;CookingComponents!C74</f>
        <v>Shortcut recipe: Cut and mix all ingredients. This dish should be a little fresh and sour.</v>
      </c>
      <c r="D57">
        <f t="shared" si="1"/>
        <v>90</v>
      </c>
      <c r="E57" s="1" t="str">
        <f>CookingComponents!E10&amp;" "&amp;CookingComponents!E74</f>
        <v>Shortcut opskrift: Skær og bland alle ingredienser. Retten skal være en smule frisk og syrlig.</v>
      </c>
    </row>
    <row r="58" spans="1:5" ht="136" x14ac:dyDescent="0.2">
      <c r="A58" s="5" t="s">
        <v>736</v>
      </c>
      <c r="C58" s="1" t="str">
        <f>CookingComponents!C10&amp;" "&amp;CookingComponents!C75</f>
        <v>Shortcut recipe: Cut and mix all ingredients. This dish should be a little fresh and sour.</v>
      </c>
      <c r="D58">
        <f t="shared" si="1"/>
        <v>90</v>
      </c>
      <c r="E58" s="1" t="str">
        <f>CookingComponents!E10&amp;" "&amp;CookingComponents!E75</f>
        <v>Shortcut opskrift: Skær og bland alle ingredienser. Retten skal være en smule frisk og syrlig.</v>
      </c>
    </row>
    <row r="59" spans="1:5" ht="204" x14ac:dyDescent="0.2">
      <c r="A59" s="5" t="s">
        <v>740</v>
      </c>
      <c r="C59" s="1" t="str">
        <f>CookingComponents!C76</f>
        <v>Shortcut recipe: Mix and blend all ingredients. Store it in the fridge up to 3 days. Serve the smoothie cold.</v>
      </c>
      <c r="D59">
        <f t="shared" si="1"/>
        <v>109</v>
      </c>
      <c r="E59" s="1" t="str">
        <f>CookingComponents!E76</f>
        <v>Shortcut opskrift: Bland og blend alle ingredienser. Opbevar i køleren op til 3 dage.</v>
      </c>
    </row>
    <row r="60" spans="1:5" ht="255" x14ac:dyDescent="0.2">
      <c r="A60" s="5" t="s">
        <v>650</v>
      </c>
      <c r="C60" s="1" t="str">
        <f>CookingComponents!C77</f>
        <v>Shortcut recipe: Add fillings to your tortilla and fold over. Heat a bit of oil in your pan and cook the quesadilla for 2-3min per side until golden brown.</v>
      </c>
      <c r="D60">
        <f t="shared" si="1"/>
        <v>155</v>
      </c>
      <c r="E60" s="1" t="str">
        <f>CookingComponents!E77</f>
        <v>Shortcut opskrift: Tilføj ingredienser til tortilla og fold dem. Varm en smule olie på en pande og steg quesadillas 2-3 minutter per side.</v>
      </c>
    </row>
    <row r="61" spans="1:5" ht="272" x14ac:dyDescent="0.2">
      <c r="A61" s="5" t="s">
        <v>1650</v>
      </c>
      <c r="C61" s="1" t="str">
        <f>CookingComponents!C78</f>
        <v>Shortcut recipe: Beat in the wet ingredients into the dry until no flour pockets remain. Do not overmix. Bake for 60 minutes (180 degrees)</v>
      </c>
      <c r="D61">
        <f t="shared" si="1"/>
        <v>138</v>
      </c>
      <c r="E61" s="1" t="str">
        <f>CookingComponents!E78</f>
        <v>Shortcut opskrift: Slå de våde ingredienser indi de tørre indtil der ikke er flere 'mel-lommer' i dejen. Bag i ca 60 minutter (180 grader).</v>
      </c>
    </row>
    <row r="62" spans="1:5" ht="255" x14ac:dyDescent="0.2">
      <c r="A62" s="5" t="s">
        <v>1651</v>
      </c>
      <c r="C62" s="1" t="str">
        <f>CookingComponents!C79</f>
        <v>Shortcut recipe: Leave oats in liquids over night in the fridge (at least 3 hours). You can still gently heat it next day if you prefer it warm.</v>
      </c>
      <c r="D62">
        <f t="shared" si="1"/>
        <v>144</v>
      </c>
      <c r="E62" s="1" t="str">
        <f>CookingComponents!E79</f>
        <v>Shortcut opskrift: Læg havren i blød over natten i køleren. Du kan stadig varme grøden næste morgen, hvis du foretrækker den varm.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1C37-0C87-9A43-B77E-538B9A03B46E}">
  <dimension ref="A1:E79"/>
  <sheetViews>
    <sheetView topLeftCell="A64" zoomScale="125" workbookViewId="0">
      <pane xSplit="1" topLeftCell="B1" activePane="topRight" state="frozen"/>
      <selection activeCell="A38" sqref="A38"/>
      <selection pane="topRight" activeCell="E80" sqref="E80"/>
    </sheetView>
  </sheetViews>
  <sheetFormatPr baseColWidth="10" defaultRowHeight="16" x14ac:dyDescent="0.2"/>
  <cols>
    <col min="1" max="1" width="18" bestFit="1" customWidth="1"/>
    <col min="2" max="2" width="98.6640625" customWidth="1"/>
    <col min="3" max="3" width="61" customWidth="1"/>
    <col min="9" max="9" width="10.83203125" customWidth="1"/>
  </cols>
  <sheetData>
    <row r="1" spans="1:5" x14ac:dyDescent="0.2">
      <c r="A1" s="2" t="s">
        <v>1544</v>
      </c>
      <c r="C1" t="s">
        <v>1588</v>
      </c>
      <c r="E1" t="s">
        <v>1678</v>
      </c>
    </row>
    <row r="2" spans="1:5" x14ac:dyDescent="0.2">
      <c r="A2" t="s">
        <v>1530</v>
      </c>
      <c r="B2" t="s">
        <v>1579</v>
      </c>
      <c r="C2" t="s">
        <v>1597</v>
      </c>
      <c r="E2" t="s">
        <v>1679</v>
      </c>
    </row>
    <row r="3" spans="1:5" x14ac:dyDescent="0.2">
      <c r="A3" t="s">
        <v>1558</v>
      </c>
      <c r="B3" t="s">
        <v>1559</v>
      </c>
      <c r="C3" t="s">
        <v>1592</v>
      </c>
      <c r="E3" t="s">
        <v>1680</v>
      </c>
    </row>
    <row r="5" spans="1:5" x14ac:dyDescent="0.2">
      <c r="A5" t="s">
        <v>1613</v>
      </c>
      <c r="C5" t="s">
        <v>1612</v>
      </c>
      <c r="E5" t="s">
        <v>1681</v>
      </c>
    </row>
    <row r="6" spans="1:5" x14ac:dyDescent="0.2">
      <c r="A6" t="s">
        <v>1577</v>
      </c>
      <c r="B6" t="s">
        <v>1578</v>
      </c>
      <c r="C6" t="s">
        <v>1606</v>
      </c>
      <c r="E6" t="s">
        <v>1682</v>
      </c>
    </row>
    <row r="7" spans="1:5" x14ac:dyDescent="0.2">
      <c r="A7" t="s">
        <v>682</v>
      </c>
      <c r="B7" t="s">
        <v>1567</v>
      </c>
      <c r="C7" t="s">
        <v>1598</v>
      </c>
      <c r="E7" t="s">
        <v>1683</v>
      </c>
    </row>
    <row r="8" spans="1:5" x14ac:dyDescent="0.2">
      <c r="A8" t="s">
        <v>1531</v>
      </c>
      <c r="B8" t="s">
        <v>1542</v>
      </c>
      <c r="C8" t="s">
        <v>1599</v>
      </c>
      <c r="E8" t="s">
        <v>1684</v>
      </c>
    </row>
    <row r="9" spans="1:5" x14ac:dyDescent="0.2">
      <c r="A9" t="s">
        <v>1533</v>
      </c>
      <c r="B9" t="s">
        <v>1535</v>
      </c>
      <c r="C9" t="s">
        <v>1604</v>
      </c>
      <c r="E9" t="s">
        <v>1685</v>
      </c>
    </row>
    <row r="10" spans="1:5" x14ac:dyDescent="0.2">
      <c r="A10" t="s">
        <v>1563</v>
      </c>
      <c r="B10" t="s">
        <v>1564</v>
      </c>
      <c r="C10" t="s">
        <v>1658</v>
      </c>
      <c r="E10" t="s">
        <v>1686</v>
      </c>
    </row>
    <row r="11" spans="1:5" x14ac:dyDescent="0.2">
      <c r="A11" t="s">
        <v>351</v>
      </c>
      <c r="B11" t="s">
        <v>1574</v>
      </c>
      <c r="C11" t="s">
        <v>1589</v>
      </c>
      <c r="E11" t="s">
        <v>1687</v>
      </c>
    </row>
    <row r="12" spans="1:5" x14ac:dyDescent="0.2">
      <c r="A12" t="s">
        <v>601</v>
      </c>
      <c r="B12" t="s">
        <v>1576</v>
      </c>
      <c r="C12" t="s">
        <v>1603</v>
      </c>
      <c r="E12" t="s">
        <v>1688</v>
      </c>
    </row>
    <row r="13" spans="1:5" x14ac:dyDescent="0.2">
      <c r="A13" t="s">
        <v>1581</v>
      </c>
      <c r="B13" t="s">
        <v>1580</v>
      </c>
      <c r="C13" t="s">
        <v>1590</v>
      </c>
      <c r="E13" t="s">
        <v>1689</v>
      </c>
    </row>
    <row r="14" spans="1:5" ht="34" x14ac:dyDescent="0.2">
      <c r="A14" t="s">
        <v>1582</v>
      </c>
      <c r="B14" s="1" t="s">
        <v>1583</v>
      </c>
      <c r="C14" t="s">
        <v>1591</v>
      </c>
      <c r="E14" t="s">
        <v>1690</v>
      </c>
    </row>
    <row r="16" spans="1:5" x14ac:dyDescent="0.2">
      <c r="A16" t="s">
        <v>1568</v>
      </c>
      <c r="B16" t="s">
        <v>1569</v>
      </c>
    </row>
    <row r="17" spans="1:5" x14ac:dyDescent="0.2">
      <c r="A17" t="s">
        <v>1532</v>
      </c>
      <c r="B17" t="s">
        <v>1565</v>
      </c>
      <c r="C17" t="s">
        <v>1593</v>
      </c>
      <c r="E17" t="s">
        <v>1691</v>
      </c>
    </row>
    <row r="18" spans="1:5" x14ac:dyDescent="0.2">
      <c r="A18" t="s">
        <v>1571</v>
      </c>
      <c r="B18" t="s">
        <v>1572</v>
      </c>
      <c r="C18" t="s">
        <v>1572</v>
      </c>
      <c r="E18" t="s">
        <v>1692</v>
      </c>
    </row>
    <row r="19" spans="1:5" x14ac:dyDescent="0.2">
      <c r="A19" t="s">
        <v>1570</v>
      </c>
      <c r="B19" t="s">
        <v>1573</v>
      </c>
      <c r="C19" t="s">
        <v>1594</v>
      </c>
      <c r="E19" t="s">
        <v>1693</v>
      </c>
    </row>
    <row r="21" spans="1:5" x14ac:dyDescent="0.2">
      <c r="A21" t="s">
        <v>1537</v>
      </c>
      <c r="B21" t="s">
        <v>1560</v>
      </c>
    </row>
    <row r="22" spans="1:5" x14ac:dyDescent="0.2">
      <c r="A22" t="s">
        <v>1538</v>
      </c>
      <c r="B22" t="s">
        <v>1543</v>
      </c>
      <c r="C22" t="s">
        <v>1600</v>
      </c>
      <c r="E22" t="s">
        <v>1694</v>
      </c>
    </row>
    <row r="23" spans="1:5" x14ac:dyDescent="0.2">
      <c r="A23" t="s">
        <v>1540</v>
      </c>
      <c r="B23" t="s">
        <v>1541</v>
      </c>
      <c r="C23" t="s">
        <v>1602</v>
      </c>
      <c r="E23" t="s">
        <v>1695</v>
      </c>
    </row>
    <row r="25" spans="1:5" x14ac:dyDescent="0.2">
      <c r="A25" t="s">
        <v>1534</v>
      </c>
      <c r="B25" t="s">
        <v>1575</v>
      </c>
      <c r="C25" t="s">
        <v>1601</v>
      </c>
      <c r="E25" t="s">
        <v>1696</v>
      </c>
    </row>
    <row r="26" spans="1:5" x14ac:dyDescent="0.2">
      <c r="A26" t="s">
        <v>1536</v>
      </c>
      <c r="B26" t="s">
        <v>1566</v>
      </c>
    </row>
    <row r="28" spans="1:5" x14ac:dyDescent="0.2">
      <c r="A28" t="s">
        <v>1561</v>
      </c>
      <c r="B28" t="s">
        <v>1562</v>
      </c>
    </row>
    <row r="30" spans="1:5" x14ac:dyDescent="0.2">
      <c r="A30" s="2" t="s">
        <v>1584</v>
      </c>
    </row>
    <row r="31" spans="1:5" x14ac:dyDescent="0.2">
      <c r="A31" t="s">
        <v>1585</v>
      </c>
      <c r="B31" t="s">
        <v>1586</v>
      </c>
      <c r="C31" t="s">
        <v>1595</v>
      </c>
      <c r="E31" t="s">
        <v>1697</v>
      </c>
    </row>
    <row r="32" spans="1:5" x14ac:dyDescent="0.2">
      <c r="A32" t="s">
        <v>1557</v>
      </c>
      <c r="B32" t="s">
        <v>1587</v>
      </c>
      <c r="C32" t="s">
        <v>1596</v>
      </c>
      <c r="E32" t="s">
        <v>1698</v>
      </c>
    </row>
    <row r="33" spans="1:5" x14ac:dyDescent="0.2">
      <c r="A33" t="s">
        <v>119</v>
      </c>
      <c r="C33" t="s">
        <v>1605</v>
      </c>
      <c r="E33" t="s">
        <v>1699</v>
      </c>
    </row>
    <row r="34" spans="1:5" x14ac:dyDescent="0.2">
      <c r="A34" t="s">
        <v>1607</v>
      </c>
      <c r="C34" t="s">
        <v>1608</v>
      </c>
      <c r="E34" t="s">
        <v>1700</v>
      </c>
    </row>
    <row r="35" spans="1:5" x14ac:dyDescent="0.2">
      <c r="A35" t="s">
        <v>618</v>
      </c>
      <c r="C35" t="s">
        <v>1609</v>
      </c>
      <c r="E35" t="s">
        <v>1701</v>
      </c>
    </row>
    <row r="36" spans="1:5" x14ac:dyDescent="0.2">
      <c r="A36" t="s">
        <v>1556</v>
      </c>
      <c r="C36" t="s">
        <v>1610</v>
      </c>
      <c r="E36" t="s">
        <v>1702</v>
      </c>
    </row>
    <row r="37" spans="1:5" x14ac:dyDescent="0.2">
      <c r="A37" t="s">
        <v>1555</v>
      </c>
      <c r="C37" t="s">
        <v>1611</v>
      </c>
      <c r="E37" t="s">
        <v>1703</v>
      </c>
    </row>
    <row r="38" spans="1:5" x14ac:dyDescent="0.2">
      <c r="A38" t="s">
        <v>1554</v>
      </c>
      <c r="C38" t="s">
        <v>1614</v>
      </c>
      <c r="E38" t="s">
        <v>1703</v>
      </c>
    </row>
    <row r="39" spans="1:5" x14ac:dyDescent="0.2">
      <c r="A39" t="s">
        <v>292</v>
      </c>
      <c r="C39" t="s">
        <v>1621</v>
      </c>
      <c r="E39" t="s">
        <v>1704</v>
      </c>
    </row>
    <row r="40" spans="1:5" x14ac:dyDescent="0.2">
      <c r="A40" t="s">
        <v>1552</v>
      </c>
      <c r="C40" t="s">
        <v>1622</v>
      </c>
      <c r="E40" t="s">
        <v>1705</v>
      </c>
    </row>
    <row r="41" spans="1:5" x14ac:dyDescent="0.2">
      <c r="A41" t="s">
        <v>400</v>
      </c>
      <c r="C41" t="s">
        <v>1623</v>
      </c>
      <c r="E41" t="s">
        <v>1706</v>
      </c>
    </row>
    <row r="42" spans="1:5" x14ac:dyDescent="0.2">
      <c r="A42" t="s">
        <v>1615</v>
      </c>
      <c r="C42" t="s">
        <v>1619</v>
      </c>
      <c r="E42" t="s">
        <v>1707</v>
      </c>
    </row>
    <row r="43" spans="1:5" x14ac:dyDescent="0.2">
      <c r="A43" t="s">
        <v>1616</v>
      </c>
      <c r="C43" t="s">
        <v>1617</v>
      </c>
      <c r="E43" t="s">
        <v>1708</v>
      </c>
    </row>
    <row r="44" spans="1:5" x14ac:dyDescent="0.2">
      <c r="A44" t="s">
        <v>1551</v>
      </c>
      <c r="C44" t="s">
        <v>1618</v>
      </c>
      <c r="E44" t="s">
        <v>1709</v>
      </c>
    </row>
    <row r="45" spans="1:5" x14ac:dyDescent="0.2">
      <c r="A45" t="s">
        <v>521</v>
      </c>
      <c r="C45" t="s">
        <v>1624</v>
      </c>
      <c r="E45" t="s">
        <v>1710</v>
      </c>
    </row>
    <row r="46" spans="1:5" x14ac:dyDescent="0.2">
      <c r="A46" t="s">
        <v>1550</v>
      </c>
      <c r="C46" t="s">
        <v>1627</v>
      </c>
      <c r="E46" t="s">
        <v>1711</v>
      </c>
    </row>
    <row r="47" spans="1:5" x14ac:dyDescent="0.2">
      <c r="A47" t="s">
        <v>487</v>
      </c>
      <c r="C47" t="s">
        <v>1626</v>
      </c>
      <c r="E47" t="s">
        <v>1712</v>
      </c>
    </row>
    <row r="48" spans="1:5" x14ac:dyDescent="0.2">
      <c r="A48" t="s">
        <v>192</v>
      </c>
      <c r="C48" t="s">
        <v>1625</v>
      </c>
      <c r="E48" t="s">
        <v>1713</v>
      </c>
    </row>
    <row r="49" spans="1:5" x14ac:dyDescent="0.2">
      <c r="A49" t="s">
        <v>651</v>
      </c>
      <c r="C49" t="s">
        <v>1628</v>
      </c>
      <c r="E49" t="s">
        <v>1714</v>
      </c>
    </row>
    <row r="50" spans="1:5" ht="51" x14ac:dyDescent="0.2">
      <c r="A50" t="s">
        <v>1548</v>
      </c>
      <c r="C50" s="4" t="s">
        <v>1629</v>
      </c>
      <c r="E50" t="s">
        <v>1715</v>
      </c>
    </row>
    <row r="51" spans="1:5" x14ac:dyDescent="0.2">
      <c r="A51" t="s">
        <v>626</v>
      </c>
      <c r="C51" t="s">
        <v>1620</v>
      </c>
      <c r="E51" t="s">
        <v>1716</v>
      </c>
    </row>
    <row r="52" spans="1:5" x14ac:dyDescent="0.2">
      <c r="A52" s="3" t="s">
        <v>354</v>
      </c>
      <c r="C52" t="s">
        <v>1630</v>
      </c>
      <c r="E52" t="s">
        <v>1717</v>
      </c>
    </row>
    <row r="53" spans="1:5" x14ac:dyDescent="0.2">
      <c r="A53" s="3" t="s">
        <v>442</v>
      </c>
      <c r="C53" t="s">
        <v>1636</v>
      </c>
      <c r="E53" t="s">
        <v>1718</v>
      </c>
    </row>
    <row r="55" spans="1:5" ht="51" x14ac:dyDescent="0.2">
      <c r="A55" s="3" t="s">
        <v>1645</v>
      </c>
      <c r="C55" s="4" t="s">
        <v>1653</v>
      </c>
      <c r="E55" t="s">
        <v>1719</v>
      </c>
    </row>
    <row r="56" spans="1:5" x14ac:dyDescent="0.2">
      <c r="A56" s="3" t="s">
        <v>125</v>
      </c>
      <c r="C56" t="s">
        <v>1668</v>
      </c>
      <c r="E56" t="s">
        <v>1720</v>
      </c>
    </row>
    <row r="57" spans="1:5" x14ac:dyDescent="0.2">
      <c r="A57" s="3" t="s">
        <v>1634</v>
      </c>
      <c r="C57" t="s">
        <v>1654</v>
      </c>
      <c r="E57" t="s">
        <v>1721</v>
      </c>
    </row>
    <row r="58" spans="1:5" x14ac:dyDescent="0.2">
      <c r="A58" s="3" t="s">
        <v>662</v>
      </c>
      <c r="C58" t="s">
        <v>1655</v>
      </c>
      <c r="E58" t="s">
        <v>1722</v>
      </c>
    </row>
    <row r="59" spans="1:5" x14ac:dyDescent="0.2">
      <c r="A59" s="3" t="s">
        <v>1635</v>
      </c>
      <c r="C59" t="s">
        <v>1656</v>
      </c>
      <c r="E59" t="s">
        <v>1726</v>
      </c>
    </row>
    <row r="60" spans="1:5" x14ac:dyDescent="0.2">
      <c r="A60" s="3" t="s">
        <v>1643</v>
      </c>
      <c r="C60" t="s">
        <v>1656</v>
      </c>
      <c r="E60" t="s">
        <v>1726</v>
      </c>
    </row>
    <row r="61" spans="1:5" x14ac:dyDescent="0.2">
      <c r="A61" s="3" t="s">
        <v>1638</v>
      </c>
      <c r="C61" t="s">
        <v>1657</v>
      </c>
      <c r="E61" t="s">
        <v>1723</v>
      </c>
    </row>
    <row r="62" spans="1:5" x14ac:dyDescent="0.2">
      <c r="A62" s="3" t="s">
        <v>1639</v>
      </c>
      <c r="C62" t="s">
        <v>1674</v>
      </c>
      <c r="E62" t="s">
        <v>1724</v>
      </c>
    </row>
    <row r="63" spans="1:5" x14ac:dyDescent="0.2">
      <c r="A63" s="3" t="s">
        <v>1640</v>
      </c>
      <c r="C63" t="s">
        <v>1675</v>
      </c>
      <c r="E63" t="s">
        <v>1725</v>
      </c>
    </row>
    <row r="64" spans="1:5" x14ac:dyDescent="0.2">
      <c r="A64" s="3" t="s">
        <v>173</v>
      </c>
      <c r="C64" t="s">
        <v>1676</v>
      </c>
      <c r="E64" t="s">
        <v>1727</v>
      </c>
    </row>
    <row r="65" spans="1:5" ht="51" x14ac:dyDescent="0.2">
      <c r="A65" s="3" t="s">
        <v>1641</v>
      </c>
      <c r="C65" s="1" t="s">
        <v>1669</v>
      </c>
      <c r="E65" t="s">
        <v>1728</v>
      </c>
    </row>
    <row r="66" spans="1:5" x14ac:dyDescent="0.2">
      <c r="A66" s="3" t="s">
        <v>210</v>
      </c>
      <c r="C66" t="s">
        <v>1671</v>
      </c>
      <c r="E66" t="s">
        <v>1729</v>
      </c>
    </row>
    <row r="67" spans="1:5" x14ac:dyDescent="0.2">
      <c r="A67" s="3" t="s">
        <v>1642</v>
      </c>
      <c r="C67" t="s">
        <v>1672</v>
      </c>
      <c r="E67" t="s">
        <v>1730</v>
      </c>
    </row>
    <row r="68" spans="1:5" x14ac:dyDescent="0.2">
      <c r="A68" s="3" t="s">
        <v>582</v>
      </c>
      <c r="C68" t="s">
        <v>1659</v>
      </c>
      <c r="E68" t="s">
        <v>1731</v>
      </c>
    </row>
    <row r="69" spans="1:5" ht="34" x14ac:dyDescent="0.2">
      <c r="A69" s="3" t="s">
        <v>597</v>
      </c>
      <c r="C69" s="4" t="s">
        <v>1670</v>
      </c>
      <c r="E69" t="s">
        <v>1732</v>
      </c>
    </row>
    <row r="70" spans="1:5" ht="51" x14ac:dyDescent="0.2">
      <c r="A70" s="3" t="s">
        <v>367</v>
      </c>
      <c r="C70" s="4" t="s">
        <v>1660</v>
      </c>
      <c r="E70" t="s">
        <v>1733</v>
      </c>
    </row>
    <row r="71" spans="1:5" x14ac:dyDescent="0.2">
      <c r="A71" s="3" t="s">
        <v>455</v>
      </c>
      <c r="C71" t="s">
        <v>1661</v>
      </c>
      <c r="E71" t="s">
        <v>1734</v>
      </c>
    </row>
    <row r="72" spans="1:5" x14ac:dyDescent="0.2">
      <c r="A72" s="3" t="s">
        <v>717</v>
      </c>
      <c r="C72" t="s">
        <v>1663</v>
      </c>
      <c r="E72" t="s">
        <v>1735</v>
      </c>
    </row>
    <row r="73" spans="1:5" x14ac:dyDescent="0.2">
      <c r="A73" s="3" t="s">
        <v>1647</v>
      </c>
      <c r="C73" t="s">
        <v>1664</v>
      </c>
      <c r="E73" t="s">
        <v>1736</v>
      </c>
    </row>
    <row r="74" spans="1:5" x14ac:dyDescent="0.2">
      <c r="A74" s="3" t="s">
        <v>811</v>
      </c>
      <c r="C74" t="s">
        <v>1662</v>
      </c>
      <c r="E74" t="s">
        <v>1737</v>
      </c>
    </row>
    <row r="75" spans="1:5" x14ac:dyDescent="0.2">
      <c r="A75" s="3" t="s">
        <v>736</v>
      </c>
      <c r="C75" t="s">
        <v>1662</v>
      </c>
      <c r="E75" t="s">
        <v>1737</v>
      </c>
    </row>
    <row r="76" spans="1:5" x14ac:dyDescent="0.2">
      <c r="A76" s="3" t="s">
        <v>740</v>
      </c>
      <c r="C76" t="s">
        <v>1665</v>
      </c>
      <c r="E76" t="s">
        <v>1738</v>
      </c>
    </row>
    <row r="77" spans="1:5" x14ac:dyDescent="0.2">
      <c r="A77" s="3" t="s">
        <v>650</v>
      </c>
      <c r="C77" t="s">
        <v>1666</v>
      </c>
      <c r="E77" t="s">
        <v>1739</v>
      </c>
    </row>
    <row r="78" spans="1:5" x14ac:dyDescent="0.2">
      <c r="A78" s="3" t="s">
        <v>1650</v>
      </c>
      <c r="C78" t="s">
        <v>1667</v>
      </c>
      <c r="E78" t="s">
        <v>1740</v>
      </c>
    </row>
    <row r="79" spans="1:5" x14ac:dyDescent="0.2">
      <c r="A79" s="3" t="s">
        <v>1651</v>
      </c>
      <c r="C79" t="s">
        <v>1673</v>
      </c>
      <c r="E79" t="s">
        <v>1741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7BCA-1D82-0F48-849C-BFEE6D398E45}">
  <dimension ref="A1:L591"/>
  <sheetViews>
    <sheetView workbookViewId="0">
      <pane xSplit="1" ySplit="1" topLeftCell="F2" activePane="bottomRight" state="frozen"/>
      <selection pane="topRight" activeCell="B1" sqref="B1"/>
      <selection pane="bottomLeft" activeCell="A2" sqref="A2"/>
      <selection pane="bottomRight" activeCell="F5" sqref="F5"/>
    </sheetView>
  </sheetViews>
  <sheetFormatPr baseColWidth="10" defaultRowHeight="16" x14ac:dyDescent="0.2"/>
  <cols>
    <col min="1" max="3" width="80.6640625" bestFit="1" customWidth="1"/>
    <col min="4" max="5" width="80.6640625" customWidth="1"/>
    <col min="6" max="10" width="80.6640625" bestFit="1" customWidth="1"/>
    <col min="11" max="11" width="5.83203125" bestFit="1" customWidth="1"/>
  </cols>
  <sheetData>
    <row r="1" spans="1:12" x14ac:dyDescent="0.2">
      <c r="A1" t="s">
        <v>0</v>
      </c>
      <c r="B1" t="s">
        <v>1</v>
      </c>
      <c r="C1" t="s">
        <v>2</v>
      </c>
      <c r="D1" t="s">
        <v>1527</v>
      </c>
      <c r="E1" t="s">
        <v>1529</v>
      </c>
      <c r="F1" t="s">
        <v>3</v>
      </c>
      <c r="G1" t="s">
        <v>4</v>
      </c>
      <c r="H1" t="s">
        <v>5</v>
      </c>
      <c r="I1" t="s">
        <v>6</v>
      </c>
      <c r="J1" t="s">
        <v>7</v>
      </c>
      <c r="K1" t="s">
        <v>1525</v>
      </c>
      <c r="L1" t="s">
        <v>1526</v>
      </c>
    </row>
    <row r="2" spans="1:12" x14ac:dyDescent="0.2">
      <c r="A2" t="s">
        <v>614</v>
      </c>
      <c r="B2">
        <v>141</v>
      </c>
      <c r="C2">
        <v>1740</v>
      </c>
      <c r="D2">
        <f>VLOOKUP(B2,[1]ManipulationPage!$A$3:$D$541,4,FALSE)</f>
        <v>0</v>
      </c>
      <c r="E2" t="str">
        <f>IF(VLOOKUP(B2,DishNotes!$B$2:$E$573,4,FALSE)="!","!","")</f>
        <v/>
      </c>
      <c r="F2" t="s">
        <v>1316</v>
      </c>
      <c r="G2" t="s">
        <v>1316</v>
      </c>
      <c r="H2" t="s">
        <v>1316</v>
      </c>
    </row>
    <row r="3" spans="1:12" x14ac:dyDescent="0.2">
      <c r="A3" t="s">
        <v>21</v>
      </c>
      <c r="B3">
        <v>1094</v>
      </c>
      <c r="C3">
        <v>9262</v>
      </c>
      <c r="D3" t="str">
        <f>VLOOKUP(B3,[1]ManipulationPage!$A$3:$D$541,4,FALSE)</f>
        <v>Asia</v>
      </c>
      <c r="E3" t="str">
        <f>IF(VLOOKUP(B3,DishNotes!$B$2:$E$573,4,FALSE)="!","!","")</f>
        <v/>
      </c>
      <c r="F3" t="s">
        <v>910</v>
      </c>
      <c r="G3" t="s">
        <v>911</v>
      </c>
      <c r="H3" t="s">
        <v>912</v>
      </c>
    </row>
    <row r="4" spans="1:12" x14ac:dyDescent="0.2">
      <c r="A4" t="s">
        <v>21</v>
      </c>
      <c r="B4">
        <v>101</v>
      </c>
      <c r="C4">
        <v>1478</v>
      </c>
      <c r="D4" t="str">
        <f>VLOOKUP(B4,[1]ManipulationPage!$A$3:$D$541,4,FALSE)</f>
        <v>Asia</v>
      </c>
      <c r="E4" t="str">
        <f>IF(VLOOKUP(B4,DishNotes!$B$2:$E$573,4,FALSE)="!","!","")</f>
        <v/>
      </c>
      <c r="F4" t="s">
        <v>910</v>
      </c>
      <c r="G4" t="s">
        <v>911</v>
      </c>
      <c r="H4" t="s">
        <v>912</v>
      </c>
    </row>
    <row r="5" spans="1:12" ht="24" x14ac:dyDescent="0.3">
      <c r="A5" t="s">
        <v>25</v>
      </c>
      <c r="B5">
        <v>988</v>
      </c>
      <c r="C5">
        <v>5419</v>
      </c>
      <c r="D5" t="str">
        <f>VLOOKUP(B5,[1]ManipulationPage!$A$3:$D$541,4,FALSE)</f>
        <v>Asia</v>
      </c>
      <c r="E5" s="6" t="str">
        <f>IF(VLOOKUP(B5,DishNotes!$B$2:$E$573,4,FALSE)="!","!","")</f>
        <v>!</v>
      </c>
    </row>
    <row r="6" spans="1:12" x14ac:dyDescent="0.2">
      <c r="A6" t="s">
        <v>245</v>
      </c>
      <c r="B6">
        <v>3</v>
      </c>
      <c r="C6">
        <v>976</v>
      </c>
      <c r="D6" t="str">
        <f>VLOOKUP(B6,[1]ManipulationPage!$A$3:$D$541,4,FALSE)</f>
        <v>Asia</v>
      </c>
      <c r="E6" t="str">
        <f>IF(VLOOKUP(B6,DishNotes!$B$2:$E$573,4,FALSE)="!","!","")</f>
        <v>!</v>
      </c>
      <c r="F6" t="s">
        <v>1067</v>
      </c>
      <c r="G6" t="s">
        <v>1068</v>
      </c>
      <c r="H6" t="s">
        <v>1069</v>
      </c>
    </row>
    <row r="7" spans="1:12" x14ac:dyDescent="0.2">
      <c r="A7" t="s">
        <v>292</v>
      </c>
      <c r="B7">
        <v>361</v>
      </c>
      <c r="C7">
        <v>3199</v>
      </c>
      <c r="D7" t="str">
        <f>VLOOKUP(B7,[1]ManipulationPage!$A$3:$D$541,4,FALSE)</f>
        <v>Asia</v>
      </c>
      <c r="E7" t="str">
        <f>IF(VLOOKUP(B7,DishNotes!$B$2:$E$573,4,FALSE)="!","!","")</f>
        <v>!</v>
      </c>
      <c r="F7" t="s">
        <v>1096</v>
      </c>
    </row>
    <row r="8" spans="1:12" x14ac:dyDescent="0.2">
      <c r="A8" t="s">
        <v>466</v>
      </c>
      <c r="B8">
        <v>31</v>
      </c>
      <c r="C8">
        <v>1134</v>
      </c>
      <c r="D8" t="str">
        <f>VLOOKUP(B8,[1]ManipulationPage!$A$3:$D$541,4,FALSE)</f>
        <v>Asia</v>
      </c>
      <c r="E8" t="str">
        <f>IF(VLOOKUP(B8,DishNotes!$B$2:$E$573,4,FALSE)="!","!","")</f>
        <v>!</v>
      </c>
      <c r="F8" t="s">
        <v>1190</v>
      </c>
      <c r="G8" t="s">
        <v>1191</v>
      </c>
      <c r="H8" t="s">
        <v>1192</v>
      </c>
    </row>
    <row r="9" spans="1:12" ht="24" x14ac:dyDescent="0.3">
      <c r="A9" t="s">
        <v>470</v>
      </c>
      <c r="B9">
        <v>930</v>
      </c>
      <c r="D9" t="str">
        <f>VLOOKUP(B9,[1]ManipulationPage!$A$3:$D$541,4,FALSE)</f>
        <v>Asia</v>
      </c>
      <c r="E9" s="6" t="str">
        <f>IF(VLOOKUP(B9,DishNotes!$B$2:$E$573,4,FALSE)="!","!","")</f>
        <v>!</v>
      </c>
    </row>
    <row r="10" spans="1:12" x14ac:dyDescent="0.2">
      <c r="A10" t="s">
        <v>482</v>
      </c>
      <c r="B10">
        <v>552</v>
      </c>
      <c r="D10" t="str">
        <f>VLOOKUP(B10,[1]ManipulationPage!$A$3:$D$541,4,FALSE)</f>
        <v>Asia</v>
      </c>
      <c r="E10" t="str">
        <f>IF(VLOOKUP(B10,DishNotes!$B$2:$E$573,4,FALSE)="!","!","")</f>
        <v/>
      </c>
    </row>
    <row r="11" spans="1:12" x14ac:dyDescent="0.2">
      <c r="A11" t="s">
        <v>483</v>
      </c>
      <c r="B11">
        <v>1012</v>
      </c>
      <c r="C11">
        <v>5855</v>
      </c>
      <c r="D11" t="str">
        <f>VLOOKUP(B11,[1]ManipulationPage!$A$3:$D$541,4,FALSE)</f>
        <v>Asia</v>
      </c>
      <c r="E11" t="str">
        <f>IF(VLOOKUP(B11,DishNotes!$B$2:$E$573,4,FALSE)="!","!","")</f>
        <v/>
      </c>
    </row>
    <row r="12" spans="1:12" x14ac:dyDescent="0.2">
      <c r="A12" t="s">
        <v>484</v>
      </c>
      <c r="B12">
        <v>931</v>
      </c>
      <c r="D12" t="str">
        <f>VLOOKUP(B12,[1]ManipulationPage!$A$3:$D$541,4,FALSE)</f>
        <v>Asia</v>
      </c>
      <c r="E12" t="str">
        <f>IF(VLOOKUP(B12,DishNotes!$B$2:$E$573,4,FALSE)="!","!","")</f>
        <v>!</v>
      </c>
    </row>
    <row r="13" spans="1:12" x14ac:dyDescent="0.2">
      <c r="A13" t="s">
        <v>485</v>
      </c>
      <c r="B13">
        <v>61</v>
      </c>
      <c r="C13">
        <v>1288</v>
      </c>
      <c r="D13" t="str">
        <f>VLOOKUP(B13,[1]ManipulationPage!$A$3:$D$541,4,FALSE)</f>
        <v>Asia</v>
      </c>
      <c r="E13" t="str">
        <f>IF(VLOOKUP(B13,DishNotes!$B$2:$E$573,4,FALSE)="!","!","")</f>
        <v>!</v>
      </c>
      <c r="F13" t="s">
        <v>1203</v>
      </c>
      <c r="G13" t="s">
        <v>1204</v>
      </c>
      <c r="H13" t="s">
        <v>1205</v>
      </c>
    </row>
    <row r="14" spans="1:12" x14ac:dyDescent="0.2">
      <c r="A14" t="s">
        <v>540</v>
      </c>
      <c r="B14">
        <v>56</v>
      </c>
      <c r="C14">
        <v>1258</v>
      </c>
      <c r="D14" t="str">
        <f>VLOOKUP(B14,[1]ManipulationPage!$A$3:$D$541,4,FALSE)</f>
        <v>Asia</v>
      </c>
      <c r="E14" t="str">
        <f>IF(VLOOKUP(B14,DishNotes!$B$2:$E$573,4,FALSE)="!","!","")</f>
        <v>!</v>
      </c>
      <c r="F14" t="s">
        <v>1254</v>
      </c>
      <c r="G14" t="s">
        <v>1255</v>
      </c>
      <c r="H14" t="s">
        <v>1256</v>
      </c>
    </row>
    <row r="15" spans="1:12" x14ac:dyDescent="0.2">
      <c r="A15" t="s">
        <v>596</v>
      </c>
      <c r="B15">
        <v>258</v>
      </c>
      <c r="C15">
        <v>2421</v>
      </c>
      <c r="D15" t="str">
        <f>VLOOKUP(B15,[1]ManipulationPage!$A$3:$D$541,4,FALSE)</f>
        <v>Asia</v>
      </c>
      <c r="E15" t="str">
        <f>IF(VLOOKUP(B15,DishNotes!$B$2:$E$573,4,FALSE)="!","!","")</f>
        <v>!</v>
      </c>
      <c r="F15" t="s">
        <v>1292</v>
      </c>
      <c r="G15" t="s">
        <v>1292</v>
      </c>
      <c r="H15" t="s">
        <v>1293</v>
      </c>
    </row>
    <row r="16" spans="1:12" ht="24" x14ac:dyDescent="0.3">
      <c r="A16" t="s">
        <v>661</v>
      </c>
      <c r="B16">
        <v>1059</v>
      </c>
      <c r="C16">
        <v>7732</v>
      </c>
      <c r="D16" t="str">
        <f>VLOOKUP(B16,[1]ManipulationPage!$A$3:$D$541,4,FALSE)</f>
        <v>Asia</v>
      </c>
      <c r="E16" s="6" t="str">
        <f>IF(VLOOKUP(B16,DishNotes!$B$2:$E$573,4,FALSE)="!","!","")</f>
        <v>!</v>
      </c>
    </row>
    <row r="17" spans="1:8" x14ac:dyDescent="0.2">
      <c r="A17" t="s">
        <v>725</v>
      </c>
      <c r="B17">
        <v>317</v>
      </c>
      <c r="C17">
        <v>2713</v>
      </c>
      <c r="D17" t="str">
        <f>VLOOKUP(B17,[1]ManipulationPage!$A$3:$D$541,4,FALSE)</f>
        <v>Asia</v>
      </c>
      <c r="E17" t="str">
        <f>IF(VLOOKUP(B17,DishNotes!$B$2:$E$573,4,FALSE)="!","!","")</f>
        <v>!</v>
      </c>
      <c r="F17" t="s">
        <v>1396</v>
      </c>
      <c r="G17" t="s">
        <v>1396</v>
      </c>
      <c r="H17" t="s">
        <v>1396</v>
      </c>
    </row>
    <row r="18" spans="1:8" ht="24" x14ac:dyDescent="0.3">
      <c r="A18" t="s">
        <v>727</v>
      </c>
      <c r="B18">
        <v>967</v>
      </c>
      <c r="C18">
        <v>5059</v>
      </c>
      <c r="D18" t="str">
        <f>VLOOKUP(B18,[1]ManipulationPage!$A$3:$D$541,4,FALSE)</f>
        <v>Asia</v>
      </c>
      <c r="E18" s="6" t="str">
        <f>IF(VLOOKUP(B18,DishNotes!$B$2:$E$573,4,FALSE)="!","!","")</f>
        <v>!</v>
      </c>
    </row>
    <row r="19" spans="1:8" ht="24" x14ac:dyDescent="0.3">
      <c r="A19" t="s">
        <v>856</v>
      </c>
      <c r="B19">
        <v>969</v>
      </c>
      <c r="C19">
        <v>5087</v>
      </c>
      <c r="D19" t="str">
        <f>VLOOKUP(B19,[1]ManipulationPage!$A$3:$D$541,4,FALSE)</f>
        <v>Asia</v>
      </c>
      <c r="E19" s="6" t="str">
        <f>IF(VLOOKUP(B19,DishNotes!$B$2:$E$573,4,FALSE)="!","!","")</f>
        <v>!</v>
      </c>
    </row>
    <row r="20" spans="1:8" x14ac:dyDescent="0.2">
      <c r="A20" t="s">
        <v>52</v>
      </c>
      <c r="B20">
        <v>389</v>
      </c>
      <c r="C20">
        <v>2927</v>
      </c>
      <c r="D20" t="str">
        <f>VLOOKUP(B20,[1]ManipulationPage!$A$3:$D$541,4,FALSE)</f>
        <v>Baking</v>
      </c>
      <c r="E20" t="str">
        <f>IF(VLOOKUP(B20,DishNotes!$B$2:$E$573,4,FALSE)="!","!","")</f>
        <v/>
      </c>
      <c r="F20" t="s">
        <v>932</v>
      </c>
      <c r="G20" t="s">
        <v>933</v>
      </c>
      <c r="H20" t="s">
        <v>932</v>
      </c>
    </row>
    <row r="21" spans="1:8" x14ac:dyDescent="0.2">
      <c r="A21" t="s">
        <v>55</v>
      </c>
      <c r="B21">
        <v>777</v>
      </c>
      <c r="C21">
        <v>3725</v>
      </c>
      <c r="D21" t="str">
        <f>VLOOKUP(B21,[1]ManipulationPage!$A$3:$D$541,4,FALSE)</f>
        <v>Baking</v>
      </c>
      <c r="E21" t="str">
        <f>IF(VLOOKUP(B21,DishNotes!$B$2:$E$573,4,FALSE)="!","!","")</f>
        <v/>
      </c>
    </row>
    <row r="22" spans="1:8" x14ac:dyDescent="0.2">
      <c r="A22" t="s">
        <v>77</v>
      </c>
      <c r="B22">
        <v>447</v>
      </c>
      <c r="C22">
        <v>3065</v>
      </c>
      <c r="D22" t="str">
        <f>VLOOKUP(B22,[1]ManipulationPage!$A$3:$D$541,4,FALSE)</f>
        <v>Baking</v>
      </c>
      <c r="E22" t="str">
        <f>IF(VLOOKUP(B22,DishNotes!$B$2:$E$573,4,FALSE)="!","!","")</f>
        <v/>
      </c>
      <c r="F22" t="s">
        <v>947</v>
      </c>
      <c r="G22" t="s">
        <v>948</v>
      </c>
      <c r="H22" t="s">
        <v>947</v>
      </c>
    </row>
    <row r="23" spans="1:8" x14ac:dyDescent="0.2">
      <c r="A23" t="s">
        <v>102</v>
      </c>
      <c r="B23">
        <v>627</v>
      </c>
      <c r="C23">
        <v>3388</v>
      </c>
      <c r="D23" t="str">
        <f>VLOOKUP(B23,[1]ManipulationPage!$A$3:$D$541,4,FALSE)</f>
        <v>Baking</v>
      </c>
      <c r="E23" t="str">
        <f>IF(VLOOKUP(B23,DishNotes!$B$2:$E$573,4,FALSE)="!","!","")</f>
        <v/>
      </c>
      <c r="F23" t="s">
        <v>961</v>
      </c>
    </row>
    <row r="24" spans="1:8" x14ac:dyDescent="0.2">
      <c r="A24" t="s">
        <v>103</v>
      </c>
      <c r="B24">
        <v>628</v>
      </c>
      <c r="C24">
        <v>3390</v>
      </c>
      <c r="D24" t="str">
        <f>VLOOKUP(B24,[1]ManipulationPage!$A$3:$D$541,4,FALSE)</f>
        <v>Baking</v>
      </c>
      <c r="E24" t="str">
        <f>IF(VLOOKUP(B24,DishNotes!$B$2:$E$573,4,FALSE)="!","!","")</f>
        <v/>
      </c>
      <c r="F24" t="s">
        <v>961</v>
      </c>
    </row>
    <row r="25" spans="1:8" x14ac:dyDescent="0.2">
      <c r="A25" t="s">
        <v>106</v>
      </c>
      <c r="B25">
        <v>467</v>
      </c>
      <c r="C25">
        <v>3099</v>
      </c>
      <c r="D25" t="str">
        <f>VLOOKUP(B25,[1]ManipulationPage!$A$3:$D$541,4,FALSE)</f>
        <v>Baking</v>
      </c>
      <c r="E25" t="str">
        <f>IF(VLOOKUP(B25,DishNotes!$B$2:$E$573,4,FALSE)="!","!","")</f>
        <v/>
      </c>
      <c r="F25" t="s">
        <v>964</v>
      </c>
      <c r="G25" t="s">
        <v>965</v>
      </c>
      <c r="H25" t="s">
        <v>966</v>
      </c>
    </row>
    <row r="26" spans="1:8" x14ac:dyDescent="0.2">
      <c r="A26" t="s">
        <v>107</v>
      </c>
      <c r="B26">
        <v>457</v>
      </c>
      <c r="C26">
        <v>3080</v>
      </c>
      <c r="D26" t="str">
        <f>VLOOKUP(B26,[1]ManipulationPage!$A$3:$D$541,4,FALSE)</f>
        <v>Baking</v>
      </c>
      <c r="E26" t="str">
        <f>IF(VLOOKUP(B26,DishNotes!$B$2:$E$573,4,FALSE)="!","!","")</f>
        <v/>
      </c>
      <c r="F26" t="s">
        <v>967</v>
      </c>
      <c r="G26" t="s">
        <v>968</v>
      </c>
      <c r="H26" t="s">
        <v>967</v>
      </c>
    </row>
    <row r="27" spans="1:8" x14ac:dyDescent="0.2">
      <c r="A27" t="s">
        <v>128</v>
      </c>
      <c r="B27">
        <v>1149</v>
      </c>
      <c r="C27">
        <v>10080</v>
      </c>
      <c r="D27" t="str">
        <f>VLOOKUP(B27,[1]ManipulationPage!$A$3:$D$541,4,FALSE)</f>
        <v>Baking</v>
      </c>
      <c r="E27" t="str">
        <f>IF(VLOOKUP(B27,DishNotes!$B$2:$E$573,4,FALSE)="!","!","")</f>
        <v/>
      </c>
    </row>
    <row r="28" spans="1:8" x14ac:dyDescent="0.2">
      <c r="A28" t="s">
        <v>129</v>
      </c>
      <c r="B28">
        <v>421</v>
      </c>
      <c r="C28">
        <v>3011</v>
      </c>
      <c r="D28" t="str">
        <f>VLOOKUP(B28,[1]ManipulationPage!$A$3:$D$541,4,FALSE)</f>
        <v>Baking</v>
      </c>
      <c r="E28" t="str">
        <f>IF(VLOOKUP(B28,DishNotes!$B$2:$E$573,4,FALSE)="!","!","")</f>
        <v/>
      </c>
      <c r="F28" t="s">
        <v>982</v>
      </c>
    </row>
    <row r="29" spans="1:8" x14ac:dyDescent="0.2">
      <c r="A29" t="s">
        <v>131</v>
      </c>
      <c r="B29">
        <v>481</v>
      </c>
      <c r="C29">
        <v>3125</v>
      </c>
      <c r="D29" t="str">
        <f>VLOOKUP(B29,[1]ManipulationPage!$A$3:$D$541,4,FALSE)</f>
        <v>Baking</v>
      </c>
      <c r="E29" t="str">
        <f>IF(VLOOKUP(B29,DishNotes!$B$2:$E$573,4,FALSE)="!","!","")</f>
        <v/>
      </c>
      <c r="F29" t="s">
        <v>983</v>
      </c>
      <c r="G29" t="s">
        <v>984</v>
      </c>
      <c r="H29" t="s">
        <v>983</v>
      </c>
    </row>
    <row r="30" spans="1:8" x14ac:dyDescent="0.2">
      <c r="A30" t="s">
        <v>150</v>
      </c>
      <c r="B30">
        <v>743</v>
      </c>
      <c r="C30">
        <v>3657</v>
      </c>
      <c r="D30" t="str">
        <f>VLOOKUP(B30,[1]ManipulationPage!$A$3:$D$541,4,FALSE)</f>
        <v>Baking</v>
      </c>
      <c r="E30" t="str">
        <f>IF(VLOOKUP(B30,DishNotes!$B$2:$E$573,4,FALSE)="!","!","")</f>
        <v/>
      </c>
    </row>
    <row r="31" spans="1:8" x14ac:dyDescent="0.2">
      <c r="A31" t="s">
        <v>152</v>
      </c>
      <c r="B31">
        <v>1153</v>
      </c>
      <c r="C31">
        <v>10096</v>
      </c>
      <c r="D31" t="str">
        <f>VLOOKUP(B31,[1]ManipulationPage!$A$3:$D$541,4,FALSE)</f>
        <v>Baking</v>
      </c>
      <c r="E31" t="str">
        <f>IF(VLOOKUP(B31,DishNotes!$B$2:$E$573,4,FALSE)="!","!","")</f>
        <v/>
      </c>
    </row>
    <row r="32" spans="1:8" x14ac:dyDescent="0.2">
      <c r="A32" t="s">
        <v>218</v>
      </c>
      <c r="B32">
        <v>667</v>
      </c>
      <c r="C32">
        <v>3486</v>
      </c>
      <c r="D32" t="str">
        <f>VLOOKUP(B32,[1]ManipulationPage!$A$3:$D$541,4,FALSE)</f>
        <v>Baking</v>
      </c>
      <c r="E32" t="str">
        <f>IF(VLOOKUP(B32,DishNotes!$B$2:$E$573,4,FALSE)="!","!","")</f>
        <v/>
      </c>
      <c r="F32" t="s">
        <v>1045</v>
      </c>
      <c r="G32" t="s">
        <v>1046</v>
      </c>
      <c r="H32" t="s">
        <v>1047</v>
      </c>
    </row>
    <row r="33" spans="1:8" x14ac:dyDescent="0.2">
      <c r="A33" t="s">
        <v>233</v>
      </c>
      <c r="B33">
        <v>826</v>
      </c>
      <c r="C33">
        <v>3829</v>
      </c>
      <c r="D33" t="str">
        <f>VLOOKUP(B33,[1]ManipulationPage!$A$3:$D$541,4,FALSE)</f>
        <v>Baking</v>
      </c>
      <c r="E33" t="str">
        <f>IF(VLOOKUP(B33,DishNotes!$B$2:$E$573,4,FALSE)="!","!","")</f>
        <v/>
      </c>
      <c r="F33" t="s">
        <v>1060</v>
      </c>
      <c r="G33" t="s">
        <v>1061</v>
      </c>
      <c r="H33" t="s">
        <v>1062</v>
      </c>
    </row>
    <row r="34" spans="1:8" x14ac:dyDescent="0.2">
      <c r="A34" t="s">
        <v>234</v>
      </c>
      <c r="B34">
        <v>600</v>
      </c>
      <c r="C34">
        <v>3294</v>
      </c>
      <c r="D34" t="str">
        <f>VLOOKUP(B34,[1]ManipulationPage!$A$3:$D$541,4,FALSE)</f>
        <v>Baking</v>
      </c>
      <c r="E34" t="str">
        <f>IF(VLOOKUP(B34,DishNotes!$B$2:$E$573,4,FALSE)="!","!","")</f>
        <v/>
      </c>
      <c r="F34" t="s">
        <v>1063</v>
      </c>
    </row>
    <row r="35" spans="1:8" x14ac:dyDescent="0.2">
      <c r="A35" t="s">
        <v>236</v>
      </c>
      <c r="B35">
        <v>429</v>
      </c>
      <c r="C35">
        <v>3036</v>
      </c>
      <c r="D35" t="str">
        <f>VLOOKUP(B35,[1]ManipulationPage!$A$3:$D$541,4,FALSE)</f>
        <v>Baking</v>
      </c>
      <c r="E35" t="str">
        <f>IF(VLOOKUP(B35,DishNotes!$B$2:$E$573,4,FALSE)="!","!","")</f>
        <v/>
      </c>
      <c r="F35" t="s">
        <v>1064</v>
      </c>
      <c r="G35" t="s">
        <v>1065</v>
      </c>
      <c r="H35" t="s">
        <v>1064</v>
      </c>
    </row>
    <row r="36" spans="1:8" x14ac:dyDescent="0.2">
      <c r="A36" t="s">
        <v>239</v>
      </c>
      <c r="B36">
        <v>687</v>
      </c>
      <c r="C36">
        <v>3533</v>
      </c>
      <c r="D36" t="str">
        <f>VLOOKUP(B36,[1]ManipulationPage!$A$3:$D$541,4,FALSE)</f>
        <v>Baking</v>
      </c>
      <c r="E36" t="str">
        <f>IF(VLOOKUP(B36,DishNotes!$B$2:$E$573,4,FALSE)="!","!","")</f>
        <v/>
      </c>
      <c r="F36" t="s">
        <v>1066</v>
      </c>
    </row>
    <row r="37" spans="1:8" x14ac:dyDescent="0.2">
      <c r="A37" t="s">
        <v>259</v>
      </c>
      <c r="B37">
        <v>477</v>
      </c>
      <c r="C37">
        <v>3117</v>
      </c>
      <c r="D37" t="str">
        <f>VLOOKUP(B37,[1]ManipulationPage!$A$3:$D$541,4,FALSE)</f>
        <v>Baking</v>
      </c>
      <c r="E37" t="str">
        <f>IF(VLOOKUP(B37,DishNotes!$B$2:$E$573,4,FALSE)="!","!","")</f>
        <v/>
      </c>
      <c r="F37" t="s">
        <v>1075</v>
      </c>
      <c r="G37" t="s">
        <v>1076</v>
      </c>
      <c r="H37" t="s">
        <v>1075</v>
      </c>
    </row>
    <row r="38" spans="1:8" x14ac:dyDescent="0.2">
      <c r="A38" t="s">
        <v>262</v>
      </c>
      <c r="B38">
        <v>676</v>
      </c>
      <c r="C38">
        <v>3510</v>
      </c>
      <c r="D38" t="str">
        <f>VLOOKUP(B38,[1]ManipulationPage!$A$3:$D$541,4,FALSE)</f>
        <v>Baking</v>
      </c>
      <c r="E38" t="str">
        <f>IF(VLOOKUP(B38,DishNotes!$B$2:$E$573,4,FALSE)="!","!","")</f>
        <v/>
      </c>
    </row>
    <row r="39" spans="1:8" x14ac:dyDescent="0.2">
      <c r="A39" t="s">
        <v>262</v>
      </c>
      <c r="B39">
        <v>685</v>
      </c>
      <c r="C39">
        <v>3528</v>
      </c>
      <c r="D39" t="str">
        <f>VLOOKUP(B39,[1]ManipulationPage!$A$3:$D$541,4,FALSE)</f>
        <v>Baking</v>
      </c>
      <c r="E39" t="str">
        <f>IF(VLOOKUP(B39,DishNotes!$B$2:$E$573,4,FALSE)="!","!","")</f>
        <v/>
      </c>
    </row>
    <row r="40" spans="1:8" x14ac:dyDescent="0.2">
      <c r="A40" t="s">
        <v>263</v>
      </c>
      <c r="B40">
        <v>391</v>
      </c>
      <c r="C40">
        <v>2936</v>
      </c>
      <c r="D40" t="str">
        <f>VLOOKUP(B40,[1]ManipulationPage!$A$3:$D$541,4,FALSE)</f>
        <v>Baking</v>
      </c>
      <c r="E40" t="str">
        <f>IF(VLOOKUP(B40,DishNotes!$B$2:$E$573,4,FALSE)="!","!","")</f>
        <v/>
      </c>
      <c r="F40" t="s">
        <v>1077</v>
      </c>
      <c r="G40" t="s">
        <v>1078</v>
      </c>
      <c r="H40" t="s">
        <v>1077</v>
      </c>
    </row>
    <row r="41" spans="1:8" x14ac:dyDescent="0.2">
      <c r="A41" t="s">
        <v>282</v>
      </c>
      <c r="B41">
        <v>375</v>
      </c>
      <c r="C41">
        <v>2892</v>
      </c>
      <c r="D41" t="str">
        <f>VLOOKUP(B41,[1]ManipulationPage!$A$3:$D$541,4,FALSE)</f>
        <v>Baking</v>
      </c>
      <c r="E41" t="str">
        <f>IF(VLOOKUP(B41,DishNotes!$B$2:$E$573,4,FALSE)="!","!","")</f>
        <v/>
      </c>
      <c r="F41" t="s">
        <v>1060</v>
      </c>
      <c r="G41" t="s">
        <v>1061</v>
      </c>
      <c r="H41" t="s">
        <v>1062</v>
      </c>
    </row>
    <row r="42" spans="1:8" x14ac:dyDescent="0.2">
      <c r="A42" t="s">
        <v>286</v>
      </c>
      <c r="B42">
        <v>433</v>
      </c>
      <c r="C42">
        <v>3044</v>
      </c>
      <c r="D42" t="str">
        <f>VLOOKUP(B42,[1]ManipulationPage!$A$3:$D$541,4,FALSE)</f>
        <v>Baking</v>
      </c>
      <c r="E42" t="str">
        <f>IF(VLOOKUP(B42,DishNotes!$B$2:$E$573,4,FALSE)="!","!","")</f>
        <v/>
      </c>
      <c r="F42" t="s">
        <v>1090</v>
      </c>
      <c r="G42" t="s">
        <v>1091</v>
      </c>
      <c r="H42" t="s">
        <v>1090</v>
      </c>
    </row>
    <row r="43" spans="1:8" x14ac:dyDescent="0.2">
      <c r="A43" t="s">
        <v>289</v>
      </c>
      <c r="B43">
        <v>407</v>
      </c>
      <c r="C43">
        <v>2979</v>
      </c>
      <c r="D43" t="str">
        <f>VLOOKUP(B43,[1]ManipulationPage!$A$3:$D$541,4,FALSE)</f>
        <v>Baking</v>
      </c>
      <c r="E43" t="str">
        <f>IF(VLOOKUP(B43,DishNotes!$B$2:$E$573,4,FALSE)="!","!","")</f>
        <v/>
      </c>
      <c r="F43" t="s">
        <v>1092</v>
      </c>
      <c r="G43" t="s">
        <v>1092</v>
      </c>
      <c r="H43" t="s">
        <v>1092</v>
      </c>
    </row>
    <row r="44" spans="1:8" x14ac:dyDescent="0.2">
      <c r="A44" t="s">
        <v>305</v>
      </c>
      <c r="B44">
        <v>673</v>
      </c>
      <c r="C44">
        <v>3504</v>
      </c>
      <c r="D44" t="str">
        <f>VLOOKUP(B44,[1]ManipulationPage!$A$3:$D$541,4,FALSE)</f>
        <v>Baking</v>
      </c>
      <c r="E44" t="str">
        <f>IF(VLOOKUP(B44,DishNotes!$B$2:$E$573,4,FALSE)="!","!","")</f>
        <v/>
      </c>
    </row>
    <row r="45" spans="1:8" x14ac:dyDescent="0.2">
      <c r="A45" t="s">
        <v>305</v>
      </c>
      <c r="B45">
        <v>684</v>
      </c>
      <c r="C45">
        <v>3526</v>
      </c>
      <c r="D45" t="str">
        <f>VLOOKUP(B45,[1]ManipulationPage!$A$3:$D$541,4,FALSE)</f>
        <v>Baking</v>
      </c>
      <c r="E45" t="str">
        <f>IF(VLOOKUP(B45,DishNotes!$B$2:$E$573,4,FALSE)="!","!","")</f>
        <v/>
      </c>
    </row>
    <row r="46" spans="1:8" x14ac:dyDescent="0.2">
      <c r="A46" t="s">
        <v>306</v>
      </c>
      <c r="B46">
        <v>431</v>
      </c>
      <c r="C46">
        <v>3042</v>
      </c>
      <c r="D46" t="str">
        <f>VLOOKUP(B46,[1]ManipulationPage!$A$3:$D$541,4,FALSE)</f>
        <v>Baking</v>
      </c>
      <c r="E46" t="str">
        <f>IF(VLOOKUP(B46,DishNotes!$B$2:$E$573,4,FALSE)="!","!","")</f>
        <v/>
      </c>
      <c r="F46" t="s">
        <v>1090</v>
      </c>
      <c r="G46" t="s">
        <v>1091</v>
      </c>
      <c r="H46" t="s">
        <v>1090</v>
      </c>
    </row>
    <row r="47" spans="1:8" x14ac:dyDescent="0.2">
      <c r="A47" t="s">
        <v>309</v>
      </c>
      <c r="B47">
        <v>695</v>
      </c>
      <c r="C47">
        <v>3554</v>
      </c>
      <c r="D47" t="str">
        <f>VLOOKUP(B47,[1]ManipulationPage!$A$3:$D$541,4,FALSE)</f>
        <v>Baking</v>
      </c>
      <c r="E47" t="str">
        <f>IF(VLOOKUP(B47,DishNotes!$B$2:$E$573,4,FALSE)="!","!","")</f>
        <v/>
      </c>
      <c r="F47" t="s">
        <v>310</v>
      </c>
    </row>
    <row r="48" spans="1:8" x14ac:dyDescent="0.2">
      <c r="A48" t="s">
        <v>353</v>
      </c>
      <c r="B48">
        <v>658</v>
      </c>
      <c r="C48">
        <v>3468</v>
      </c>
      <c r="D48" t="str">
        <f>VLOOKUP(B48,[1]ManipulationPage!$A$3:$D$541,4,FALSE)</f>
        <v>Baking</v>
      </c>
      <c r="E48" t="str">
        <f>IF(VLOOKUP(B48,DishNotes!$B$2:$E$573,4,FALSE)="!","!","")</f>
        <v/>
      </c>
    </row>
    <row r="49" spans="1:8" x14ac:dyDescent="0.2">
      <c r="A49" t="s">
        <v>364</v>
      </c>
      <c r="B49">
        <v>453</v>
      </c>
      <c r="C49">
        <v>3073</v>
      </c>
      <c r="D49" t="str">
        <f>VLOOKUP(B49,[1]ManipulationPage!$A$3:$D$541,4,FALSE)</f>
        <v>Baking</v>
      </c>
      <c r="E49" t="str">
        <f>IF(VLOOKUP(B49,DishNotes!$B$2:$E$573,4,FALSE)="!","!","")</f>
        <v/>
      </c>
      <c r="F49" t="s">
        <v>1138</v>
      </c>
      <c r="G49" t="s">
        <v>1139</v>
      </c>
      <c r="H49" t="s">
        <v>1138</v>
      </c>
    </row>
    <row r="50" spans="1:8" x14ac:dyDescent="0.2">
      <c r="A50" t="s">
        <v>380</v>
      </c>
      <c r="B50">
        <v>1157</v>
      </c>
      <c r="C50">
        <v>10276</v>
      </c>
      <c r="D50" t="str">
        <f>VLOOKUP(B50,[1]ManipulationPage!$A$3:$D$541,4,FALSE)</f>
        <v>Baking</v>
      </c>
      <c r="E50" t="str">
        <f>IF(VLOOKUP(B50,DishNotes!$B$2:$E$573,4,FALSE)="!","!","")</f>
        <v/>
      </c>
      <c r="F50" t="s">
        <v>982</v>
      </c>
    </row>
    <row r="51" spans="1:8" x14ac:dyDescent="0.2">
      <c r="A51" t="s">
        <v>385</v>
      </c>
      <c r="B51">
        <v>417</v>
      </c>
      <c r="C51">
        <v>3004</v>
      </c>
      <c r="D51" t="str">
        <f>VLOOKUP(B51,[1]ManipulationPage!$A$3:$D$541,4,FALSE)</f>
        <v>Baking</v>
      </c>
      <c r="E51" t="str">
        <f>IF(VLOOKUP(B51,DishNotes!$B$2:$E$573,4,FALSE)="!","!","")</f>
        <v/>
      </c>
      <c r="F51" t="s">
        <v>1150</v>
      </c>
      <c r="G51" t="s">
        <v>1151</v>
      </c>
      <c r="H51" t="s">
        <v>1150</v>
      </c>
    </row>
    <row r="52" spans="1:8" x14ac:dyDescent="0.2">
      <c r="A52" t="s">
        <v>401</v>
      </c>
      <c r="B52">
        <v>621</v>
      </c>
      <c r="C52">
        <v>3384</v>
      </c>
      <c r="D52" t="str">
        <f>VLOOKUP(B52,[1]ManipulationPage!$A$3:$D$541,4,FALSE)</f>
        <v>Baking</v>
      </c>
      <c r="E52" t="str">
        <f>IF(VLOOKUP(B52,DishNotes!$B$2:$E$573,4,FALSE)="!","!","")</f>
        <v/>
      </c>
      <c r="F52" t="s">
        <v>1157</v>
      </c>
    </row>
    <row r="53" spans="1:8" x14ac:dyDescent="0.2">
      <c r="A53" t="s">
        <v>403</v>
      </c>
      <c r="B53">
        <v>1148</v>
      </c>
      <c r="C53">
        <v>10078</v>
      </c>
      <c r="D53" t="str">
        <f>VLOOKUP(B53,[1]ManipulationPage!$A$3:$D$541,4,FALSE)</f>
        <v>Baking</v>
      </c>
      <c r="E53" t="str">
        <f>IF(VLOOKUP(B53,DishNotes!$B$2:$E$573,4,FALSE)="!","!","")</f>
        <v/>
      </c>
      <c r="F53" t="s">
        <v>980</v>
      </c>
      <c r="G53" t="s">
        <v>981</v>
      </c>
      <c r="H53" t="s">
        <v>980</v>
      </c>
    </row>
    <row r="54" spans="1:8" x14ac:dyDescent="0.2">
      <c r="A54" t="s">
        <v>405</v>
      </c>
      <c r="B54">
        <v>517</v>
      </c>
      <c r="C54">
        <v>3193</v>
      </c>
      <c r="D54" t="str">
        <f>VLOOKUP(B54,[1]ManipulationPage!$A$3:$D$541,4,FALSE)</f>
        <v>Baking</v>
      </c>
      <c r="E54" t="str">
        <f>IF(VLOOKUP(B54,DishNotes!$B$2:$E$573,4,FALSE)="!","!","")</f>
        <v/>
      </c>
      <c r="F54" t="s">
        <v>1158</v>
      </c>
    </row>
    <row r="55" spans="1:8" x14ac:dyDescent="0.2">
      <c r="A55" t="s">
        <v>406</v>
      </c>
      <c r="B55">
        <v>419</v>
      </c>
      <c r="C55">
        <v>3008</v>
      </c>
      <c r="D55" t="str">
        <f>VLOOKUP(B55,[1]ManipulationPage!$A$3:$D$541,4,FALSE)</f>
        <v>Baking</v>
      </c>
      <c r="E55" t="str">
        <f>IF(VLOOKUP(B55,DishNotes!$B$2:$E$573,4,FALSE)="!","!","")</f>
        <v/>
      </c>
      <c r="F55" t="s">
        <v>1159</v>
      </c>
      <c r="G55" t="s">
        <v>1160</v>
      </c>
      <c r="H55" t="s">
        <v>1159</v>
      </c>
    </row>
    <row r="56" spans="1:8" x14ac:dyDescent="0.2">
      <c r="A56" t="s">
        <v>426</v>
      </c>
      <c r="B56">
        <v>683</v>
      </c>
      <c r="C56">
        <v>3524</v>
      </c>
      <c r="D56" t="str">
        <f>VLOOKUP(B56,[1]ManipulationPage!$A$3:$D$541,4,FALSE)</f>
        <v>Baking</v>
      </c>
      <c r="E56" t="str">
        <f>IF(VLOOKUP(B56,DishNotes!$B$2:$E$573,4,FALSE)="!","!","")</f>
        <v/>
      </c>
    </row>
    <row r="57" spans="1:8" x14ac:dyDescent="0.2">
      <c r="A57" t="s">
        <v>426</v>
      </c>
      <c r="B57">
        <v>672</v>
      </c>
      <c r="C57">
        <v>3502</v>
      </c>
      <c r="D57" t="str">
        <f>VLOOKUP(B57,[1]ManipulationPage!$A$3:$D$541,4,FALSE)</f>
        <v>Baking</v>
      </c>
      <c r="E57" t="str">
        <f>IF(VLOOKUP(B57,DishNotes!$B$2:$E$573,4,FALSE)="!","!","")</f>
        <v/>
      </c>
    </row>
    <row r="58" spans="1:8" x14ac:dyDescent="0.2">
      <c r="A58" t="s">
        <v>446</v>
      </c>
      <c r="B58">
        <v>110</v>
      </c>
      <c r="C58">
        <v>1546</v>
      </c>
      <c r="D58" t="str">
        <f>VLOOKUP(B58,[1]ManipulationPage!$A$3:$D$541,4,FALSE)</f>
        <v>Baking</v>
      </c>
      <c r="E58" t="str">
        <f>IF(VLOOKUP(B58,DishNotes!$B$2:$E$573,4,FALSE)="!","!","")</f>
        <v/>
      </c>
      <c r="F58" t="s">
        <v>1175</v>
      </c>
      <c r="G58" t="s">
        <v>1176</v>
      </c>
      <c r="H58" t="s">
        <v>1177</v>
      </c>
    </row>
    <row r="59" spans="1:8" x14ac:dyDescent="0.2">
      <c r="A59" t="s">
        <v>449</v>
      </c>
      <c r="B59">
        <v>245</v>
      </c>
      <c r="C59">
        <v>2343</v>
      </c>
      <c r="D59" t="str">
        <f>VLOOKUP(B59,[1]ManipulationPage!$A$3:$D$541,4,FALSE)</f>
        <v>Baking</v>
      </c>
      <c r="E59" t="str">
        <f>IF(VLOOKUP(B59,DishNotes!$B$2:$E$573,4,FALSE)="!","!","")</f>
        <v/>
      </c>
      <c r="F59" t="s">
        <v>1179</v>
      </c>
      <c r="G59" t="s">
        <v>1180</v>
      </c>
      <c r="H59" t="s">
        <v>1179</v>
      </c>
    </row>
    <row r="60" spans="1:8" x14ac:dyDescent="0.2">
      <c r="A60" t="s">
        <v>463</v>
      </c>
      <c r="B60">
        <v>367</v>
      </c>
      <c r="C60">
        <v>2871</v>
      </c>
      <c r="D60" t="str">
        <f>VLOOKUP(B60,[1]ManipulationPage!$A$3:$D$541,4,FALSE)</f>
        <v>Baking</v>
      </c>
      <c r="E60" t="str">
        <f>IF(VLOOKUP(B60,DishNotes!$B$2:$E$573,4,FALSE)="!","!","")</f>
        <v/>
      </c>
      <c r="F60" t="s">
        <v>1189</v>
      </c>
      <c r="G60" t="s">
        <v>1099</v>
      </c>
      <c r="H60" t="s">
        <v>1100</v>
      </c>
    </row>
    <row r="61" spans="1:8" x14ac:dyDescent="0.2">
      <c r="A61" t="s">
        <v>480</v>
      </c>
      <c r="B61">
        <v>689</v>
      </c>
      <c r="C61">
        <v>3538</v>
      </c>
      <c r="D61" t="str">
        <f>VLOOKUP(B61,[1]ManipulationPage!$A$3:$D$541,4,FALSE)</f>
        <v>Baking</v>
      </c>
      <c r="E61" t="str">
        <f>IF(VLOOKUP(B61,DishNotes!$B$2:$E$573,4,FALSE)="!","!","")</f>
        <v/>
      </c>
      <c r="F61" t="s">
        <v>1199</v>
      </c>
    </row>
    <row r="62" spans="1:8" x14ac:dyDescent="0.2">
      <c r="A62" t="s">
        <v>493</v>
      </c>
      <c r="B62">
        <v>745</v>
      </c>
      <c r="C62">
        <v>3661</v>
      </c>
      <c r="D62" t="str">
        <f>VLOOKUP(B62,[1]ManipulationPage!$A$3:$D$541,4,FALSE)</f>
        <v>Baking</v>
      </c>
      <c r="E62" t="str">
        <f>IF(VLOOKUP(B62,DishNotes!$B$2:$E$573,4,FALSE)="!","!","")</f>
        <v/>
      </c>
    </row>
    <row r="63" spans="1:8" x14ac:dyDescent="0.2">
      <c r="A63" t="s">
        <v>495</v>
      </c>
      <c r="B63">
        <v>441</v>
      </c>
      <c r="C63">
        <v>3055</v>
      </c>
      <c r="D63" t="str">
        <f>VLOOKUP(B63,[1]ManipulationPage!$A$3:$D$541,4,FALSE)</f>
        <v>Baking</v>
      </c>
      <c r="E63" t="str">
        <f>IF(VLOOKUP(B63,DishNotes!$B$2:$E$573,4,FALSE)="!","!","")</f>
        <v/>
      </c>
      <c r="F63" t="s">
        <v>932</v>
      </c>
      <c r="G63" t="s">
        <v>933</v>
      </c>
      <c r="H63" t="s">
        <v>932</v>
      </c>
    </row>
    <row r="64" spans="1:8" x14ac:dyDescent="0.2">
      <c r="A64" t="s">
        <v>503</v>
      </c>
      <c r="B64">
        <v>718</v>
      </c>
      <c r="C64">
        <v>3605</v>
      </c>
      <c r="D64" t="str">
        <f>VLOOKUP(B64,[1]ManipulationPage!$A$3:$D$541,4,FALSE)</f>
        <v>Baking</v>
      </c>
      <c r="E64" t="str">
        <f>IF(VLOOKUP(B64,DishNotes!$B$2:$E$573,4,FALSE)="!","!","")</f>
        <v/>
      </c>
    </row>
    <row r="65" spans="1:8" x14ac:dyDescent="0.2">
      <c r="A65" t="s">
        <v>547</v>
      </c>
      <c r="B65">
        <v>813</v>
      </c>
      <c r="C65">
        <v>3801</v>
      </c>
      <c r="D65" t="str">
        <f>VLOOKUP(B65,[1]ManipulationPage!$A$3:$D$541,4,FALSE)</f>
        <v>Baking</v>
      </c>
      <c r="E65" t="str">
        <f>IF(VLOOKUP(B65,DishNotes!$B$2:$E$573,4,FALSE)="!","!","")</f>
        <v/>
      </c>
      <c r="F65" t="s">
        <v>1060</v>
      </c>
      <c r="G65" t="s">
        <v>1061</v>
      </c>
      <c r="H65" t="s">
        <v>1062</v>
      </c>
    </row>
    <row r="66" spans="1:8" x14ac:dyDescent="0.2">
      <c r="A66" t="s">
        <v>560</v>
      </c>
      <c r="B66">
        <v>575</v>
      </c>
      <c r="C66">
        <v>3257</v>
      </c>
      <c r="D66" t="str">
        <f>VLOOKUP(B66,[1]ManipulationPage!$A$3:$D$541,4,FALSE)</f>
        <v>Baking</v>
      </c>
      <c r="E66" t="str">
        <f>IF(VLOOKUP(B66,DishNotes!$B$2:$E$573,4,FALSE)="!","!","")</f>
        <v/>
      </c>
      <c r="F66" t="s">
        <v>1261</v>
      </c>
    </row>
    <row r="67" spans="1:8" x14ac:dyDescent="0.2">
      <c r="A67" t="s">
        <v>563</v>
      </c>
      <c r="B67">
        <v>671</v>
      </c>
      <c r="C67">
        <v>3500</v>
      </c>
      <c r="D67" t="str">
        <f>VLOOKUP(B67,[1]ManipulationPage!$A$3:$D$541,4,FALSE)</f>
        <v>Baking</v>
      </c>
      <c r="E67" t="str">
        <f>IF(VLOOKUP(B67,DishNotes!$B$2:$E$573,4,FALSE)="!","!","")</f>
        <v/>
      </c>
    </row>
    <row r="68" spans="1:8" x14ac:dyDescent="0.2">
      <c r="A68" t="s">
        <v>563</v>
      </c>
      <c r="B68">
        <v>681</v>
      </c>
      <c r="C68">
        <v>3520</v>
      </c>
      <c r="D68" t="str">
        <f>VLOOKUP(B68,[1]ManipulationPage!$A$3:$D$541,4,FALSE)</f>
        <v>Baking</v>
      </c>
      <c r="E68" t="str">
        <f>IF(VLOOKUP(B68,DishNotes!$B$2:$E$573,4,FALSE)="!","!","")</f>
        <v/>
      </c>
    </row>
    <row r="69" spans="1:8" x14ac:dyDescent="0.2">
      <c r="A69" t="s">
        <v>564</v>
      </c>
      <c r="B69">
        <v>401</v>
      </c>
      <c r="C69">
        <v>2963</v>
      </c>
      <c r="D69" t="str">
        <f>VLOOKUP(B69,[1]ManipulationPage!$A$3:$D$541,4,FALSE)</f>
        <v>Baking</v>
      </c>
      <c r="E69" t="str">
        <f>IF(VLOOKUP(B69,DishNotes!$B$2:$E$573,4,FALSE)="!","!","")</f>
        <v/>
      </c>
      <c r="F69" t="s">
        <v>1263</v>
      </c>
      <c r="G69" t="s">
        <v>1264</v>
      </c>
      <c r="H69" t="s">
        <v>1263</v>
      </c>
    </row>
    <row r="70" spans="1:8" x14ac:dyDescent="0.2">
      <c r="A70" t="s">
        <v>565</v>
      </c>
      <c r="B70">
        <v>373</v>
      </c>
      <c r="C70">
        <v>2888</v>
      </c>
      <c r="D70" t="str">
        <f>VLOOKUP(B70,[1]ManipulationPage!$A$3:$D$541,4,FALSE)</f>
        <v>Baking</v>
      </c>
      <c r="E70" t="str">
        <f>IF(VLOOKUP(B70,DishNotes!$B$2:$E$573,4,FALSE)="!","!","")</f>
        <v/>
      </c>
      <c r="F70" t="s">
        <v>1265</v>
      </c>
      <c r="G70" t="s">
        <v>1266</v>
      </c>
      <c r="H70" t="s">
        <v>1267</v>
      </c>
    </row>
    <row r="71" spans="1:8" x14ac:dyDescent="0.2">
      <c r="A71" t="s">
        <v>571</v>
      </c>
      <c r="B71">
        <v>397</v>
      </c>
      <c r="C71">
        <v>2950</v>
      </c>
      <c r="D71" t="str">
        <f>VLOOKUP(B71,[1]ManipulationPage!$A$3:$D$541,4,FALSE)</f>
        <v>Baking</v>
      </c>
      <c r="E71" t="str">
        <f>IF(VLOOKUP(B71,DishNotes!$B$2:$E$573,4,FALSE)="!","!","")</f>
        <v/>
      </c>
      <c r="F71" t="s">
        <v>1271</v>
      </c>
      <c r="G71" t="s">
        <v>1271</v>
      </c>
      <c r="H71" t="s">
        <v>1271</v>
      </c>
    </row>
    <row r="72" spans="1:8" x14ac:dyDescent="0.2">
      <c r="A72" t="s">
        <v>572</v>
      </c>
      <c r="B72">
        <v>465</v>
      </c>
      <c r="C72">
        <v>3095</v>
      </c>
      <c r="D72" t="str">
        <f>VLOOKUP(B72,[1]ManipulationPage!$A$3:$D$541,4,FALSE)</f>
        <v>Baking</v>
      </c>
      <c r="E72" t="str">
        <f>IF(VLOOKUP(B72,DishNotes!$B$2:$E$573,4,FALSE)="!","!","")</f>
        <v/>
      </c>
      <c r="F72" t="s">
        <v>1272</v>
      </c>
      <c r="G72" t="s">
        <v>1273</v>
      </c>
      <c r="H72" t="s">
        <v>1274</v>
      </c>
    </row>
    <row r="73" spans="1:8" x14ac:dyDescent="0.2">
      <c r="A73" t="s">
        <v>575</v>
      </c>
      <c r="B73">
        <v>379</v>
      </c>
      <c r="C73">
        <v>2907</v>
      </c>
      <c r="D73" t="str">
        <f>VLOOKUP(B73,[1]ManipulationPage!$A$3:$D$541,4,FALSE)</f>
        <v>Baking</v>
      </c>
      <c r="E73" t="str">
        <f>IF(VLOOKUP(B73,DishNotes!$B$2:$E$573,4,FALSE)="!","!","")</f>
        <v/>
      </c>
      <c r="F73" t="s">
        <v>1275</v>
      </c>
      <c r="G73" t="s">
        <v>1276</v>
      </c>
      <c r="H73" t="s">
        <v>1277</v>
      </c>
    </row>
    <row r="74" spans="1:8" x14ac:dyDescent="0.2">
      <c r="A74" t="s">
        <v>591</v>
      </c>
      <c r="B74">
        <v>73</v>
      </c>
      <c r="C74">
        <v>1366</v>
      </c>
      <c r="D74" t="str">
        <f>VLOOKUP(B74,[1]ManipulationPage!$A$3:$D$541,4,FALSE)</f>
        <v>Baking</v>
      </c>
      <c r="E74" t="str">
        <f>IF(VLOOKUP(B74,DishNotes!$B$2:$E$573,4,FALSE)="!","!","")</f>
        <v/>
      </c>
      <c r="F74" t="s">
        <v>1287</v>
      </c>
      <c r="G74" t="s">
        <v>1288</v>
      </c>
      <c r="H74" t="s">
        <v>1289</v>
      </c>
    </row>
    <row r="75" spans="1:8" x14ac:dyDescent="0.2">
      <c r="A75" t="s">
        <v>595</v>
      </c>
      <c r="B75">
        <v>907</v>
      </c>
      <c r="C75">
        <v>4024</v>
      </c>
      <c r="D75" t="str">
        <f>VLOOKUP(B75,[1]ManipulationPage!$A$3:$D$541,4,FALSE)</f>
        <v>Baking</v>
      </c>
      <c r="E75" t="str">
        <f>IF(VLOOKUP(B75,DishNotes!$B$2:$E$573,4,FALSE)="!","!","")</f>
        <v/>
      </c>
      <c r="F75" t="s">
        <v>1290</v>
      </c>
      <c r="G75" t="s">
        <v>1291</v>
      </c>
    </row>
    <row r="76" spans="1:8" x14ac:dyDescent="0.2">
      <c r="A76" t="s">
        <v>609</v>
      </c>
      <c r="B76">
        <v>435</v>
      </c>
      <c r="C76">
        <v>3048</v>
      </c>
      <c r="D76" t="str">
        <f>VLOOKUP(B76,[1]ManipulationPage!$A$3:$D$541,4,FALSE)</f>
        <v>Baking</v>
      </c>
      <c r="E76" t="str">
        <f>IF(VLOOKUP(B76,DishNotes!$B$2:$E$573,4,FALSE)="!","!","")</f>
        <v/>
      </c>
      <c r="F76" t="s">
        <v>1090</v>
      </c>
      <c r="G76" t="s">
        <v>1091</v>
      </c>
      <c r="H76" t="s">
        <v>1090</v>
      </c>
    </row>
    <row r="77" spans="1:8" x14ac:dyDescent="0.2">
      <c r="A77" t="s">
        <v>611</v>
      </c>
      <c r="B77">
        <v>479</v>
      </c>
      <c r="C77">
        <v>3121</v>
      </c>
      <c r="D77" t="str">
        <f>VLOOKUP(B77,[1]ManipulationPage!$A$3:$D$541,4,FALSE)</f>
        <v>Baking</v>
      </c>
      <c r="E77" t="str">
        <f>IF(VLOOKUP(B77,DishNotes!$B$2:$E$573,4,FALSE)="!","!","")</f>
        <v/>
      </c>
      <c r="F77" t="s">
        <v>1314</v>
      </c>
      <c r="G77" t="s">
        <v>1315</v>
      </c>
      <c r="H77" t="s">
        <v>1314</v>
      </c>
    </row>
    <row r="78" spans="1:8" x14ac:dyDescent="0.2">
      <c r="A78" t="s">
        <v>647</v>
      </c>
      <c r="B78">
        <v>449</v>
      </c>
      <c r="C78">
        <v>3067</v>
      </c>
      <c r="D78" t="str">
        <f>VLOOKUP(B78,[1]ManipulationPage!$A$3:$D$541,4,FALSE)</f>
        <v>Baking</v>
      </c>
      <c r="E78" t="str">
        <f>IF(VLOOKUP(B78,DishNotes!$B$2:$E$573,4,FALSE)="!","!","")</f>
        <v/>
      </c>
      <c r="F78" t="s">
        <v>1345</v>
      </c>
      <c r="G78" t="s">
        <v>1346</v>
      </c>
      <c r="H78" t="s">
        <v>1345</v>
      </c>
    </row>
    <row r="79" spans="1:8" x14ac:dyDescent="0.2">
      <c r="A79" t="s">
        <v>654</v>
      </c>
      <c r="B79">
        <v>511</v>
      </c>
      <c r="C79">
        <v>3181</v>
      </c>
      <c r="D79" t="str">
        <f>VLOOKUP(B79,[1]ManipulationPage!$A$3:$D$541,4,FALSE)</f>
        <v>Baking</v>
      </c>
      <c r="E79" t="str">
        <f>IF(VLOOKUP(B79,DishNotes!$B$2:$E$573,4,FALSE)="!","!","")</f>
        <v/>
      </c>
      <c r="F79" t="s">
        <v>1354</v>
      </c>
      <c r="G79" t="s">
        <v>1354</v>
      </c>
      <c r="H79" t="s">
        <v>1354</v>
      </c>
    </row>
    <row r="80" spans="1:8" x14ac:dyDescent="0.2">
      <c r="A80" t="s">
        <v>669</v>
      </c>
      <c r="B80">
        <v>713</v>
      </c>
      <c r="C80">
        <v>3597</v>
      </c>
      <c r="D80" t="str">
        <f>VLOOKUP(B80,[1]ManipulationPage!$A$3:$D$541,4,FALSE)</f>
        <v>Baking</v>
      </c>
      <c r="E80" t="str">
        <f>IF(VLOOKUP(B80,DishNotes!$B$2:$E$573,4,FALSE)="!","!","")</f>
        <v/>
      </c>
      <c r="F80" t="s">
        <v>670</v>
      </c>
    </row>
    <row r="81" spans="1:8" x14ac:dyDescent="0.2">
      <c r="A81" t="s">
        <v>671</v>
      </c>
      <c r="B81">
        <v>1023</v>
      </c>
      <c r="C81">
        <v>6297</v>
      </c>
      <c r="D81" t="str">
        <f>VLOOKUP(B81,[1]ManipulationPage!$A$3:$D$541,4,FALSE)</f>
        <v>Baking</v>
      </c>
      <c r="E81" t="str">
        <f>IF(VLOOKUP(B81,DishNotes!$B$2:$E$573,4,FALSE)="!","!","")</f>
        <v/>
      </c>
    </row>
    <row r="82" spans="1:8" x14ac:dyDescent="0.2">
      <c r="A82" t="s">
        <v>672</v>
      </c>
      <c r="B82">
        <v>413</v>
      </c>
      <c r="C82">
        <v>2994</v>
      </c>
      <c r="D82" t="str">
        <f>VLOOKUP(B82,[1]ManipulationPage!$A$3:$D$541,4,FALSE)</f>
        <v>Baking</v>
      </c>
      <c r="E82" t="str">
        <f>IF(VLOOKUP(B82,DishNotes!$B$2:$E$573,4,FALSE)="!","!","")</f>
        <v/>
      </c>
      <c r="F82" t="s">
        <v>386</v>
      </c>
      <c r="G82" t="s">
        <v>387</v>
      </c>
      <c r="H82" t="s">
        <v>386</v>
      </c>
    </row>
    <row r="83" spans="1:8" x14ac:dyDescent="0.2">
      <c r="A83" t="s">
        <v>675</v>
      </c>
      <c r="B83">
        <v>1028</v>
      </c>
      <c r="C83">
        <v>6307</v>
      </c>
      <c r="D83" t="str">
        <f>VLOOKUP(B83,[1]ManipulationPage!$A$3:$D$541,4,FALSE)</f>
        <v>Baking</v>
      </c>
      <c r="E83" t="str">
        <f>IF(VLOOKUP(B83,DishNotes!$B$2:$E$573,4,FALSE)="!","!","")</f>
        <v/>
      </c>
    </row>
    <row r="84" spans="1:8" x14ac:dyDescent="0.2">
      <c r="A84" t="s">
        <v>676</v>
      </c>
      <c r="B84">
        <v>1027</v>
      </c>
      <c r="C84">
        <v>6305</v>
      </c>
      <c r="D84" t="str">
        <f>VLOOKUP(B84,[1]ManipulationPage!$A$3:$D$541,4,FALSE)</f>
        <v>Baking</v>
      </c>
      <c r="E84" t="str">
        <f>IF(VLOOKUP(B84,DishNotes!$B$2:$E$573,4,FALSE)="!","!","")</f>
        <v/>
      </c>
    </row>
    <row r="85" spans="1:8" x14ac:dyDescent="0.2">
      <c r="A85" t="s">
        <v>677</v>
      </c>
      <c r="B85">
        <v>871</v>
      </c>
      <c r="C85">
        <v>3927</v>
      </c>
      <c r="D85" t="str">
        <f>VLOOKUP(B85,[1]ManipulationPage!$A$3:$D$541,4,FALSE)</f>
        <v>Baking</v>
      </c>
      <c r="E85" t="str">
        <f>IF(VLOOKUP(B85,DishNotes!$B$2:$E$573,4,FALSE)="!","!","")</f>
        <v/>
      </c>
    </row>
    <row r="86" spans="1:8" x14ac:dyDescent="0.2">
      <c r="A86" t="s">
        <v>680</v>
      </c>
      <c r="B86">
        <v>711</v>
      </c>
      <c r="C86">
        <v>3587</v>
      </c>
      <c r="D86" t="str">
        <f>VLOOKUP(B86,[1]ManipulationPage!$A$3:$D$541,4,FALSE)</f>
        <v>Baking</v>
      </c>
      <c r="E86" t="str">
        <f>IF(VLOOKUP(B86,DishNotes!$B$2:$E$573,4,FALSE)="!","!","")</f>
        <v/>
      </c>
      <c r="F86" t="s">
        <v>681</v>
      </c>
    </row>
    <row r="87" spans="1:8" x14ac:dyDescent="0.2">
      <c r="A87" t="s">
        <v>692</v>
      </c>
      <c r="B87">
        <v>38</v>
      </c>
      <c r="C87">
        <v>1180</v>
      </c>
      <c r="D87" t="str">
        <f>VLOOKUP(B87,[1]ManipulationPage!$A$3:$D$541,4,FALSE)</f>
        <v>Baking</v>
      </c>
      <c r="E87" t="str">
        <f>IF(VLOOKUP(B87,DishNotes!$B$2:$E$573,4,FALSE)="!","!","")</f>
        <v/>
      </c>
      <c r="F87" t="s">
        <v>1004</v>
      </c>
      <c r="G87" t="s">
        <v>1005</v>
      </c>
      <c r="H87" t="s">
        <v>1006</v>
      </c>
    </row>
    <row r="88" spans="1:8" x14ac:dyDescent="0.2">
      <c r="A88" t="s">
        <v>695</v>
      </c>
      <c r="B88">
        <v>579</v>
      </c>
      <c r="C88">
        <v>3261</v>
      </c>
      <c r="D88" t="str">
        <f>VLOOKUP(B88,[1]ManipulationPage!$A$3:$D$541,4,FALSE)</f>
        <v>Baking</v>
      </c>
      <c r="E88" t="str">
        <f>IF(VLOOKUP(B88,DishNotes!$B$2:$E$573,4,FALSE)="!","!","")</f>
        <v/>
      </c>
      <c r="F88" t="s">
        <v>1375</v>
      </c>
    </row>
    <row r="89" spans="1:8" x14ac:dyDescent="0.2">
      <c r="A89" t="s">
        <v>695</v>
      </c>
      <c r="B89">
        <v>515</v>
      </c>
      <c r="C89">
        <v>3189</v>
      </c>
      <c r="D89" t="str">
        <f>VLOOKUP(B89,[1]ManipulationPage!$A$3:$D$541,4,FALSE)</f>
        <v>Baking</v>
      </c>
      <c r="E89" t="str">
        <f>IF(VLOOKUP(B89,DishNotes!$B$2:$E$573,4,FALSE)="!","!","")</f>
        <v/>
      </c>
      <c r="F89" t="s">
        <v>1376</v>
      </c>
      <c r="G89" t="s">
        <v>1376</v>
      </c>
      <c r="H89" t="s">
        <v>1376</v>
      </c>
    </row>
    <row r="90" spans="1:8" x14ac:dyDescent="0.2">
      <c r="A90" t="s">
        <v>697</v>
      </c>
      <c r="B90">
        <v>409</v>
      </c>
      <c r="C90">
        <v>2987</v>
      </c>
      <c r="D90" t="str">
        <f>VLOOKUP(B90,[1]ManipulationPage!$A$3:$D$541,4,FALSE)</f>
        <v>Baking</v>
      </c>
      <c r="E90" t="str">
        <f>IF(VLOOKUP(B90,DishNotes!$B$2:$E$573,4,FALSE)="!","!","")</f>
        <v/>
      </c>
      <c r="F90" t="s">
        <v>1159</v>
      </c>
      <c r="G90" t="s">
        <v>1160</v>
      </c>
      <c r="H90" t="s">
        <v>1159</v>
      </c>
    </row>
    <row r="91" spans="1:8" x14ac:dyDescent="0.2">
      <c r="A91" t="s">
        <v>705</v>
      </c>
      <c r="B91">
        <v>423</v>
      </c>
      <c r="C91">
        <v>3017</v>
      </c>
      <c r="D91" t="str">
        <f>VLOOKUP(B91,[1]ManipulationPage!$A$3:$D$541,4,FALSE)</f>
        <v>Baking</v>
      </c>
      <c r="E91" t="str">
        <f>IF(VLOOKUP(B91,DishNotes!$B$2:$E$573,4,FALSE)="!","!","")</f>
        <v/>
      </c>
      <c r="F91" t="s">
        <v>1385</v>
      </c>
    </row>
    <row r="92" spans="1:8" x14ac:dyDescent="0.2">
      <c r="A92" t="s">
        <v>711</v>
      </c>
      <c r="B92">
        <v>497</v>
      </c>
      <c r="C92">
        <v>3143</v>
      </c>
      <c r="D92" t="str">
        <f>VLOOKUP(B92,[1]ManipulationPage!$A$3:$D$541,4,FALSE)</f>
        <v>Baking</v>
      </c>
      <c r="E92" t="str">
        <f>IF(VLOOKUP(B92,DishNotes!$B$2:$E$573,4,FALSE)="!","!","")</f>
        <v/>
      </c>
      <c r="F92" t="s">
        <v>1189</v>
      </c>
      <c r="G92" t="s">
        <v>1099</v>
      </c>
      <c r="H92" t="s">
        <v>1100</v>
      </c>
    </row>
    <row r="93" spans="1:8" x14ac:dyDescent="0.2">
      <c r="A93" t="s">
        <v>712</v>
      </c>
      <c r="B93">
        <v>425</v>
      </c>
      <c r="C93">
        <v>3025</v>
      </c>
      <c r="D93" t="str">
        <f>VLOOKUP(B93,[1]ManipulationPage!$A$3:$D$541,4,FALSE)</f>
        <v>Baking</v>
      </c>
      <c r="E93" t="str">
        <f>IF(VLOOKUP(B93,DishNotes!$B$2:$E$573,4,FALSE)="!","!","")</f>
        <v/>
      </c>
      <c r="F93" t="s">
        <v>1387</v>
      </c>
      <c r="G93" t="s">
        <v>1388</v>
      </c>
      <c r="H93" t="s">
        <v>1387</v>
      </c>
    </row>
    <row r="94" spans="1:8" x14ac:dyDescent="0.2">
      <c r="A94" t="s">
        <v>715</v>
      </c>
      <c r="B94">
        <v>712</v>
      </c>
      <c r="C94">
        <v>3590</v>
      </c>
      <c r="D94" t="str">
        <f>VLOOKUP(B94,[1]ManipulationPage!$A$3:$D$541,4,FALSE)</f>
        <v>Baking</v>
      </c>
      <c r="E94" t="str">
        <f>IF(VLOOKUP(B94,DishNotes!$B$2:$E$573,4,FALSE)="!","!","")</f>
        <v/>
      </c>
      <c r="F94" t="s">
        <v>716</v>
      </c>
    </row>
    <row r="95" spans="1:8" x14ac:dyDescent="0.2">
      <c r="A95" t="s">
        <v>733</v>
      </c>
      <c r="B95">
        <v>574</v>
      </c>
      <c r="C95">
        <v>3255</v>
      </c>
      <c r="D95" t="str">
        <f>VLOOKUP(B95,[1]ManipulationPage!$A$3:$D$541,4,FALSE)</f>
        <v>Baking</v>
      </c>
      <c r="E95" t="str">
        <f>IF(VLOOKUP(B95,DishNotes!$B$2:$E$573,4,FALSE)="!","!","")</f>
        <v/>
      </c>
      <c r="F95" t="s">
        <v>1400</v>
      </c>
    </row>
    <row r="96" spans="1:8" x14ac:dyDescent="0.2">
      <c r="A96" t="s">
        <v>742</v>
      </c>
      <c r="B96">
        <v>625</v>
      </c>
      <c r="C96">
        <v>3386</v>
      </c>
      <c r="D96" t="str">
        <f>VLOOKUP(B96,[1]ManipulationPage!$A$3:$D$541,4,FALSE)</f>
        <v>Baking</v>
      </c>
      <c r="E96" t="str">
        <f>IF(VLOOKUP(B96,DishNotes!$B$2:$E$573,4,FALSE)="!","!","")</f>
        <v/>
      </c>
      <c r="F96" t="s">
        <v>1408</v>
      </c>
    </row>
    <row r="97" spans="1:8" x14ac:dyDescent="0.2">
      <c r="A97" t="s">
        <v>743</v>
      </c>
      <c r="B97">
        <v>385</v>
      </c>
      <c r="C97">
        <v>2917</v>
      </c>
      <c r="D97" t="str">
        <f>VLOOKUP(B97,[1]ManipulationPage!$A$3:$D$541,4,FALSE)</f>
        <v>Baking</v>
      </c>
      <c r="E97" t="str">
        <f>IF(VLOOKUP(B97,DishNotes!$B$2:$E$573,4,FALSE)="!","!","")</f>
        <v/>
      </c>
      <c r="F97" t="s">
        <v>1409</v>
      </c>
      <c r="G97" t="s">
        <v>1410</v>
      </c>
      <c r="H97" t="s">
        <v>1409</v>
      </c>
    </row>
    <row r="98" spans="1:8" x14ac:dyDescent="0.2">
      <c r="A98" t="s">
        <v>746</v>
      </c>
      <c r="B98">
        <v>509</v>
      </c>
      <c r="C98">
        <v>3177</v>
      </c>
      <c r="D98" t="str">
        <f>VLOOKUP(B98,[1]ManipulationPage!$A$3:$D$541,4,FALSE)</f>
        <v>Baking</v>
      </c>
      <c r="E98" t="str">
        <f>IF(VLOOKUP(B98,DishNotes!$B$2:$E$573,4,FALSE)="!","!","")</f>
        <v/>
      </c>
      <c r="F98" t="s">
        <v>1376</v>
      </c>
      <c r="G98" t="s">
        <v>1376</v>
      </c>
      <c r="H98" t="s">
        <v>1376</v>
      </c>
    </row>
    <row r="99" spans="1:8" x14ac:dyDescent="0.2">
      <c r="A99" t="s">
        <v>778</v>
      </c>
      <c r="B99">
        <v>677</v>
      </c>
      <c r="C99">
        <v>3512</v>
      </c>
      <c r="D99" t="str">
        <f>VLOOKUP(B99,[1]ManipulationPage!$A$3:$D$541,4,FALSE)</f>
        <v>Baking</v>
      </c>
      <c r="E99" t="str">
        <f>IF(VLOOKUP(B99,DishNotes!$B$2:$E$573,4,FALSE)="!","!","")</f>
        <v/>
      </c>
    </row>
    <row r="100" spans="1:8" x14ac:dyDescent="0.2">
      <c r="A100" t="s">
        <v>861</v>
      </c>
      <c r="B100">
        <v>415</v>
      </c>
      <c r="C100">
        <v>2999</v>
      </c>
      <c r="D100" t="str">
        <f>VLOOKUP(B100,[1]ManipulationPage!$A$3:$D$541,4,FALSE)</f>
        <v>Baking</v>
      </c>
      <c r="E100" t="str">
        <f>IF(VLOOKUP(B100,DishNotes!$B$2:$E$573,4,FALSE)="!","!","")</f>
        <v/>
      </c>
      <c r="F100" t="s">
        <v>1012</v>
      </c>
      <c r="G100" t="s">
        <v>1013</v>
      </c>
      <c r="H100" t="s">
        <v>1012</v>
      </c>
    </row>
    <row r="101" spans="1:8" x14ac:dyDescent="0.2">
      <c r="A101" t="s">
        <v>863</v>
      </c>
      <c r="B101">
        <v>405</v>
      </c>
      <c r="C101">
        <v>2973</v>
      </c>
      <c r="D101" t="str">
        <f>VLOOKUP(B101,[1]ManipulationPage!$A$3:$D$541,4,FALSE)</f>
        <v>Baking</v>
      </c>
      <c r="E101" t="str">
        <f>IF(VLOOKUP(B101,DishNotes!$B$2:$E$573,4,FALSE)="!","!","")</f>
        <v/>
      </c>
      <c r="F101" t="s">
        <v>1064</v>
      </c>
      <c r="G101" t="s">
        <v>1065</v>
      </c>
      <c r="H101" t="s">
        <v>1064</v>
      </c>
    </row>
    <row r="102" spans="1:8" x14ac:dyDescent="0.2">
      <c r="A102" t="s">
        <v>866</v>
      </c>
      <c r="B102">
        <v>399</v>
      </c>
      <c r="C102">
        <v>2954</v>
      </c>
      <c r="D102" t="str">
        <f>VLOOKUP(B102,[1]ManipulationPage!$A$3:$D$541,4,FALSE)</f>
        <v>Baking</v>
      </c>
      <c r="E102" t="str">
        <f>IF(VLOOKUP(B102,DishNotes!$B$2:$E$573,4,FALSE)="!","!","")</f>
        <v/>
      </c>
      <c r="F102" t="s">
        <v>1492</v>
      </c>
      <c r="G102" t="s">
        <v>1493</v>
      </c>
      <c r="H102" t="s">
        <v>1492</v>
      </c>
    </row>
    <row r="103" spans="1:8" x14ac:dyDescent="0.2">
      <c r="A103" t="s">
        <v>867</v>
      </c>
      <c r="B103">
        <v>326</v>
      </c>
      <c r="C103">
        <v>2749</v>
      </c>
      <c r="D103" t="str">
        <f>VLOOKUP(B103,[1]ManipulationPage!$A$3:$D$541,4,FALSE)</f>
        <v>Baking</v>
      </c>
      <c r="E103" t="str">
        <f>IF(VLOOKUP(B103,DishNotes!$B$2:$E$573,4,FALSE)="!","!","")</f>
        <v/>
      </c>
      <c r="F103" t="s">
        <v>1045</v>
      </c>
      <c r="G103" t="s">
        <v>1046</v>
      </c>
      <c r="H103" t="s">
        <v>1047</v>
      </c>
    </row>
    <row r="104" spans="1:8" x14ac:dyDescent="0.2">
      <c r="A104" t="s">
        <v>868</v>
      </c>
      <c r="B104">
        <v>395</v>
      </c>
      <c r="C104">
        <v>2946</v>
      </c>
      <c r="D104" t="str">
        <f>VLOOKUP(B104,[1]ManipulationPage!$A$3:$D$541,4,FALSE)</f>
        <v>Baking</v>
      </c>
      <c r="E104" t="str">
        <f>IF(VLOOKUP(B104,DishNotes!$B$2:$E$573,4,FALSE)="!","!","")</f>
        <v/>
      </c>
      <c r="F104" t="s">
        <v>267</v>
      </c>
      <c r="G104" t="s">
        <v>268</v>
      </c>
      <c r="H104" t="s">
        <v>267</v>
      </c>
    </row>
    <row r="105" spans="1:8" x14ac:dyDescent="0.2">
      <c r="A105" t="s">
        <v>872</v>
      </c>
      <c r="B105">
        <v>109</v>
      </c>
      <c r="C105">
        <v>1536</v>
      </c>
      <c r="D105" t="str">
        <f>VLOOKUP(B105,[1]ManipulationPage!$A$3:$D$541,4,FALSE)</f>
        <v>Baking</v>
      </c>
      <c r="E105" t="str">
        <f>IF(VLOOKUP(B105,DishNotes!$B$2:$E$573,4,FALSE)="!","!","")</f>
        <v/>
      </c>
      <c r="F105" t="s">
        <v>1496</v>
      </c>
      <c r="G105" t="s">
        <v>1497</v>
      </c>
      <c r="H105" t="s">
        <v>1498</v>
      </c>
    </row>
    <row r="106" spans="1:8" x14ac:dyDescent="0.2">
      <c r="A106" t="s">
        <v>873</v>
      </c>
      <c r="B106">
        <v>371</v>
      </c>
      <c r="C106">
        <v>2883</v>
      </c>
      <c r="D106" t="str">
        <f>VLOOKUP(B106,[1]ManipulationPage!$A$3:$D$541,4,FALSE)</f>
        <v>Baking</v>
      </c>
      <c r="E106" t="str">
        <f>IF(VLOOKUP(B106,DishNotes!$B$2:$E$573,4,FALSE)="!","!","")</f>
        <v/>
      </c>
      <c r="F106" t="s">
        <v>1499</v>
      </c>
      <c r="G106" t="s">
        <v>1500</v>
      </c>
      <c r="H106" t="s">
        <v>1501</v>
      </c>
    </row>
    <row r="107" spans="1:8" x14ac:dyDescent="0.2">
      <c r="A107" t="s">
        <v>874</v>
      </c>
      <c r="B107">
        <v>567</v>
      </c>
      <c r="C107">
        <v>3242</v>
      </c>
      <c r="D107" t="str">
        <f>VLOOKUP(B107,[1]ManipulationPage!$A$3:$D$541,4,FALSE)</f>
        <v>Baking</v>
      </c>
      <c r="E107" t="str">
        <f>IF(VLOOKUP(B107,DishNotes!$B$2:$E$573,4,FALSE)="!","!","")</f>
        <v/>
      </c>
      <c r="F107" t="s">
        <v>1502</v>
      </c>
    </row>
    <row r="108" spans="1:8" x14ac:dyDescent="0.2">
      <c r="A108" t="s">
        <v>876</v>
      </c>
      <c r="B108">
        <v>513</v>
      </c>
      <c r="C108">
        <v>3185</v>
      </c>
      <c r="D108" t="str">
        <f>VLOOKUP(B108,[1]ManipulationPage!$A$3:$D$541,4,FALSE)</f>
        <v>Baking</v>
      </c>
      <c r="E108" t="str">
        <f>IF(VLOOKUP(B108,DishNotes!$B$2:$E$573,4,FALSE)="!","!","")</f>
        <v/>
      </c>
      <c r="F108" t="s">
        <v>1354</v>
      </c>
      <c r="G108" t="s">
        <v>1354</v>
      </c>
      <c r="H108" t="s">
        <v>1354</v>
      </c>
    </row>
    <row r="109" spans="1:8" x14ac:dyDescent="0.2">
      <c r="A109" t="s">
        <v>878</v>
      </c>
      <c r="B109">
        <v>427</v>
      </c>
      <c r="C109">
        <v>3027</v>
      </c>
      <c r="D109" t="str">
        <f>VLOOKUP(B109,[1]ManipulationPage!$A$3:$D$541,4,FALSE)</f>
        <v>Baking</v>
      </c>
      <c r="E109" t="str">
        <f>IF(VLOOKUP(B109,DishNotes!$B$2:$E$573,4,FALSE)="!","!","")</f>
        <v/>
      </c>
      <c r="F109" t="s">
        <v>1506</v>
      </c>
      <c r="G109" t="s">
        <v>1507</v>
      </c>
      <c r="H109" t="s">
        <v>1506</v>
      </c>
    </row>
    <row r="110" spans="1:8" x14ac:dyDescent="0.2">
      <c r="A110" t="s">
        <v>880</v>
      </c>
      <c r="B110">
        <v>469</v>
      </c>
      <c r="C110">
        <v>3103</v>
      </c>
      <c r="D110" t="str">
        <f>VLOOKUP(B110,[1]ManipulationPage!$A$3:$D$541,4,FALSE)</f>
        <v>Baking</v>
      </c>
      <c r="E110" t="str">
        <f>IF(VLOOKUP(B110,DishNotes!$B$2:$E$573,4,FALSE)="!","!","")</f>
        <v/>
      </c>
      <c r="F110" t="s">
        <v>1189</v>
      </c>
      <c r="G110" t="s">
        <v>1099</v>
      </c>
      <c r="H110" t="s">
        <v>1100</v>
      </c>
    </row>
    <row r="111" spans="1:8" x14ac:dyDescent="0.2">
      <c r="A111" t="s">
        <v>881</v>
      </c>
      <c r="B111">
        <v>493</v>
      </c>
      <c r="C111">
        <v>3137</v>
      </c>
      <c r="D111" t="str">
        <f>VLOOKUP(B111,[1]ManipulationPage!$A$3:$D$541,4,FALSE)</f>
        <v>Baking</v>
      </c>
      <c r="E111" t="str">
        <f>IF(VLOOKUP(B111,DishNotes!$B$2:$E$573,4,FALSE)="!","!","")</f>
        <v/>
      </c>
    </row>
    <row r="112" spans="1:8" x14ac:dyDescent="0.2">
      <c r="A112" t="s">
        <v>125</v>
      </c>
      <c r="B112">
        <v>383</v>
      </c>
      <c r="C112">
        <v>2913</v>
      </c>
      <c r="D112" t="str">
        <f>VLOOKUP(B112,[1]ManipulationPage!$A$3:$D$541,4,FALSE)</f>
        <v>Baking_verified</v>
      </c>
      <c r="E112" t="str">
        <f>IF(VLOOKUP(B112,DishNotes!$B$2:$E$573,4,FALSE)="!","!","")</f>
        <v/>
      </c>
      <c r="F112" t="s">
        <v>980</v>
      </c>
      <c r="G112" t="s">
        <v>981</v>
      </c>
      <c r="H112" t="s">
        <v>980</v>
      </c>
    </row>
    <row r="113" spans="1:8" x14ac:dyDescent="0.2">
      <c r="A113" t="s">
        <v>146</v>
      </c>
      <c r="B113">
        <v>455</v>
      </c>
      <c r="C113">
        <v>3078</v>
      </c>
      <c r="D113" t="str">
        <f>VLOOKUP(B113,[1]ManipulationPage!$A$3:$D$541,4,FALSE)</f>
        <v>Baking_verified</v>
      </c>
      <c r="E113" t="str">
        <f>IF(VLOOKUP(B113,DishNotes!$B$2:$E$573,4,FALSE)="!","!","")</f>
        <v/>
      </c>
      <c r="F113" t="s">
        <v>267</v>
      </c>
      <c r="G113" t="s">
        <v>268</v>
      </c>
      <c r="H113" t="s">
        <v>267</v>
      </c>
    </row>
    <row r="114" spans="1:8" x14ac:dyDescent="0.2">
      <c r="A114" t="s">
        <v>173</v>
      </c>
      <c r="B114">
        <v>501</v>
      </c>
      <c r="C114">
        <v>3151</v>
      </c>
      <c r="D114" t="str">
        <f>VLOOKUP(B114,[1]ManipulationPage!$A$3:$D$541,4,FALSE)</f>
        <v>Baking_verified</v>
      </c>
      <c r="E114" t="str">
        <f>IF(VLOOKUP(B114,DishNotes!$B$2:$E$573,4,FALSE)="!","!","")</f>
        <v/>
      </c>
      <c r="F114" t="s">
        <v>1012</v>
      </c>
      <c r="G114" t="s">
        <v>1013</v>
      </c>
    </row>
    <row r="115" spans="1:8" x14ac:dyDescent="0.2">
      <c r="A115" t="s">
        <v>184</v>
      </c>
      <c r="B115">
        <v>445</v>
      </c>
      <c r="C115">
        <v>3061</v>
      </c>
      <c r="D115" t="str">
        <f>VLOOKUP(B115,[1]ManipulationPage!$A$3:$D$541,4,FALSE)</f>
        <v>Baking_verified</v>
      </c>
      <c r="E115" t="str">
        <f>IF(VLOOKUP(B115,DishNotes!$B$2:$E$573,4,FALSE)="!","!","")</f>
        <v/>
      </c>
      <c r="F115" t="s">
        <v>1019</v>
      </c>
      <c r="G115" t="s">
        <v>1020</v>
      </c>
      <c r="H115" t="s">
        <v>1019</v>
      </c>
    </row>
    <row r="116" spans="1:8" x14ac:dyDescent="0.2">
      <c r="A116" t="s">
        <v>187</v>
      </c>
      <c r="B116">
        <v>437</v>
      </c>
      <c r="C116">
        <v>3050</v>
      </c>
      <c r="D116" t="str">
        <f>VLOOKUP(B116,[1]ManipulationPage!$A$3:$D$541,4,FALSE)</f>
        <v>Baking_verified</v>
      </c>
      <c r="E116" t="str">
        <f>IF(VLOOKUP(B116,DishNotes!$B$2:$E$573,4,FALSE)="!","!","")</f>
        <v/>
      </c>
      <c r="F116" t="s">
        <v>932</v>
      </c>
      <c r="G116" t="s">
        <v>933</v>
      </c>
      <c r="H116" t="s">
        <v>932</v>
      </c>
    </row>
    <row r="117" spans="1:8" x14ac:dyDescent="0.2">
      <c r="A117" t="s">
        <v>210</v>
      </c>
      <c r="B117">
        <v>1152</v>
      </c>
      <c r="C117">
        <v>10094</v>
      </c>
      <c r="D117" t="str">
        <f>VLOOKUP(B117,[1]ManipulationPage!$A$3:$D$541,4,FALSE)</f>
        <v>Baking_verified</v>
      </c>
      <c r="E117" t="str">
        <f>IF(VLOOKUP(B117,DishNotes!$B$2:$E$573,4,FALSE)="!","!","")</f>
        <v/>
      </c>
    </row>
    <row r="118" spans="1:8" x14ac:dyDescent="0.2">
      <c r="A118" t="s">
        <v>214</v>
      </c>
      <c r="B118">
        <v>96</v>
      </c>
      <c r="C118">
        <v>1440</v>
      </c>
      <c r="D118" t="str">
        <f>VLOOKUP(B118,[1]ManipulationPage!$A$3:$D$541,4,FALSE)</f>
        <v>Baking_verified</v>
      </c>
      <c r="E118" t="str">
        <f>IF(VLOOKUP(B118,DishNotes!$B$2:$E$573,4,FALSE)="!","!","")</f>
        <v/>
      </c>
      <c r="F118" t="s">
        <v>1045</v>
      </c>
      <c r="G118" t="s">
        <v>1046</v>
      </c>
      <c r="H118" t="s">
        <v>1047</v>
      </c>
    </row>
    <row r="119" spans="1:8" x14ac:dyDescent="0.2">
      <c r="A119" t="s">
        <v>263</v>
      </c>
      <c r="B119">
        <v>1151</v>
      </c>
      <c r="C119">
        <v>10092</v>
      </c>
      <c r="D119" t="str">
        <f>VLOOKUP(B119,[1]ManipulationPage!$A$3:$D$541,4,FALSE)</f>
        <v>Baking_verified</v>
      </c>
      <c r="E119" t="str">
        <f>IF(VLOOKUP(B119,DishNotes!$B$2:$E$573,4,FALSE)="!","!","")</f>
        <v/>
      </c>
    </row>
    <row r="120" spans="1:8" x14ac:dyDescent="0.2">
      <c r="A120" t="s">
        <v>266</v>
      </c>
      <c r="B120">
        <v>393</v>
      </c>
      <c r="C120">
        <v>2942</v>
      </c>
      <c r="D120" t="str">
        <f>VLOOKUP(B120,[1]ManipulationPage!$A$3:$D$541,4,FALSE)</f>
        <v>Baking_verified</v>
      </c>
      <c r="E120" t="str">
        <f>IF(VLOOKUP(B120,DishNotes!$B$2:$E$573,4,FALSE)="!","!","")</f>
        <v/>
      </c>
      <c r="F120" t="s">
        <v>267</v>
      </c>
      <c r="G120" t="s">
        <v>268</v>
      </c>
    </row>
    <row r="121" spans="1:8" x14ac:dyDescent="0.2">
      <c r="A121" t="s">
        <v>275</v>
      </c>
      <c r="B121">
        <v>107</v>
      </c>
      <c r="C121">
        <v>1522</v>
      </c>
      <c r="D121" t="str">
        <f>VLOOKUP(B121,[1]ManipulationPage!$A$3:$D$541,4,FALSE)</f>
        <v>Baking_verified</v>
      </c>
      <c r="E121" t="str">
        <f>IF(VLOOKUP(B121,DishNotes!$B$2:$E$573,4,FALSE)="!","!","")</f>
        <v/>
      </c>
      <c r="F121" t="s">
        <v>1084</v>
      </c>
      <c r="G121" t="s">
        <v>1085</v>
      </c>
      <c r="H121" t="s">
        <v>1086</v>
      </c>
    </row>
    <row r="122" spans="1:8" x14ac:dyDescent="0.2">
      <c r="A122" t="s">
        <v>279</v>
      </c>
      <c r="B122">
        <v>439</v>
      </c>
      <c r="C122">
        <v>3053</v>
      </c>
      <c r="D122" t="str">
        <f>VLOOKUP(B122,[1]ManipulationPage!$A$3:$D$541,4,FALSE)</f>
        <v>Baking_verified</v>
      </c>
      <c r="E122" t="str">
        <f>IF(VLOOKUP(B122,DishNotes!$B$2:$E$573,4,FALSE)="!","!","")</f>
        <v/>
      </c>
      <c r="F122" t="s">
        <v>932</v>
      </c>
      <c r="G122" t="s">
        <v>933</v>
      </c>
      <c r="H122" t="s">
        <v>932</v>
      </c>
    </row>
    <row r="123" spans="1:8" x14ac:dyDescent="0.2">
      <c r="A123" t="s">
        <v>363</v>
      </c>
      <c r="B123">
        <v>505</v>
      </c>
      <c r="C123">
        <v>3167</v>
      </c>
      <c r="D123" t="str">
        <f>VLOOKUP(B123,[1]ManipulationPage!$A$3:$D$541,4,FALSE)</f>
        <v>Baking_verified</v>
      </c>
      <c r="E123" t="str">
        <f>IF(VLOOKUP(B123,DishNotes!$B$2:$E$573,4,FALSE)="!","!","")</f>
        <v/>
      </c>
      <c r="F123" t="s">
        <v>932</v>
      </c>
      <c r="G123" t="s">
        <v>933</v>
      </c>
      <c r="H123" t="s">
        <v>932</v>
      </c>
    </row>
    <row r="124" spans="1:8" x14ac:dyDescent="0.2">
      <c r="A124" t="s">
        <v>388</v>
      </c>
      <c r="B124">
        <v>403</v>
      </c>
      <c r="C124">
        <v>2969</v>
      </c>
      <c r="D124" t="str">
        <f>VLOOKUP(B124,[1]ManipulationPage!$A$3:$D$541,4,FALSE)</f>
        <v>Baking_verified</v>
      </c>
      <c r="E124" t="str">
        <f>IF(VLOOKUP(B124,DishNotes!$B$2:$E$573,4,FALSE)="!","!","")</f>
        <v/>
      </c>
      <c r="F124" t="s">
        <v>389</v>
      </c>
      <c r="G124" t="s">
        <v>390</v>
      </c>
      <c r="H124" t="s">
        <v>391</v>
      </c>
    </row>
    <row r="125" spans="1:8" x14ac:dyDescent="0.2">
      <c r="A125" t="s">
        <v>392</v>
      </c>
      <c r="B125">
        <v>1150</v>
      </c>
      <c r="C125">
        <v>10090</v>
      </c>
      <c r="D125" t="str">
        <f>VLOOKUP(B125,[1]ManipulationPage!$A$3:$D$541,4,FALSE)</f>
        <v>Baking_verified</v>
      </c>
      <c r="E125" t="str">
        <f>IF(VLOOKUP(B125,DishNotes!$B$2:$E$573,4,FALSE)="!","!","")</f>
        <v/>
      </c>
    </row>
    <row r="126" spans="1:8" x14ac:dyDescent="0.2">
      <c r="A126" t="s">
        <v>427</v>
      </c>
      <c r="B126">
        <v>411</v>
      </c>
      <c r="C126">
        <v>2990</v>
      </c>
      <c r="D126" t="str">
        <f>VLOOKUP(B126,[1]ManipulationPage!$A$3:$D$541,4,FALSE)</f>
        <v>Baking_verified</v>
      </c>
      <c r="E126" t="str">
        <f>IF(VLOOKUP(B126,DishNotes!$B$2:$E$573,4,FALSE)="!","!","")</f>
        <v/>
      </c>
      <c r="F126" t="s">
        <v>1090</v>
      </c>
      <c r="G126" t="s">
        <v>1091</v>
      </c>
      <c r="H126" t="s">
        <v>1090</v>
      </c>
    </row>
    <row r="127" spans="1:8" x14ac:dyDescent="0.2">
      <c r="A127" t="s">
        <v>547</v>
      </c>
      <c r="B127">
        <v>377</v>
      </c>
      <c r="C127">
        <v>2894</v>
      </c>
      <c r="D127" t="str">
        <f>VLOOKUP(B127,[1]ManipulationPage!$A$3:$D$541,4,FALSE)</f>
        <v>Baking_verified</v>
      </c>
      <c r="E127" t="str">
        <f>IF(VLOOKUP(B127,DishNotes!$B$2:$E$573,4,FALSE)="!","!","")</f>
        <v/>
      </c>
      <c r="F127" t="s">
        <v>1060</v>
      </c>
      <c r="G127" t="s">
        <v>1061</v>
      </c>
      <c r="H127" t="s">
        <v>1062</v>
      </c>
    </row>
    <row r="128" spans="1:8" x14ac:dyDescent="0.2">
      <c r="A128" t="s">
        <v>597</v>
      </c>
      <c r="B128">
        <v>584</v>
      </c>
      <c r="C128">
        <v>3265</v>
      </c>
      <c r="D128" t="str">
        <f>VLOOKUP(B128,[1]ManipulationPage!$A$3:$D$541,4,FALSE)</f>
        <v>Baking_verified</v>
      </c>
      <c r="E128" t="str">
        <f>IF(VLOOKUP(B128,DishNotes!$B$2:$E$573,4,FALSE)="!","!","")</f>
        <v/>
      </c>
      <c r="F128" t="s">
        <v>1294</v>
      </c>
      <c r="G128" t="s">
        <v>486</v>
      </c>
      <c r="H128" t="s">
        <v>486</v>
      </c>
    </row>
    <row r="129" spans="1:8" x14ac:dyDescent="0.2">
      <c r="A129" t="s">
        <v>795</v>
      </c>
      <c r="B129">
        <v>1160</v>
      </c>
      <c r="C129">
        <v>10842</v>
      </c>
      <c r="D129" t="str">
        <f>VLOOKUP(B129,[1]ManipulationPage!$A$3:$D$541,4,FALSE)</f>
        <v>Baking_verified</v>
      </c>
      <c r="E129" t="str">
        <f>IF(VLOOKUP(B129,DishNotes!$B$2:$E$573,4,FALSE)="!","!","")</f>
        <v/>
      </c>
      <c r="G129" t="s">
        <v>486</v>
      </c>
      <c r="H129" t="s">
        <v>486</v>
      </c>
    </row>
    <row r="130" spans="1:8" x14ac:dyDescent="0.2">
      <c r="A130" t="s">
        <v>809</v>
      </c>
      <c r="B130">
        <v>1154</v>
      </c>
      <c r="C130">
        <v>10098</v>
      </c>
      <c r="D130" t="str">
        <f>VLOOKUP(B130,[1]ManipulationPage!$A$3:$D$541,4,FALSE)</f>
        <v>Baking_verified</v>
      </c>
      <c r="E130" t="str">
        <f>IF(VLOOKUP(B130,DishNotes!$B$2:$E$573,4,FALSE)="!","!","")</f>
        <v/>
      </c>
    </row>
    <row r="131" spans="1:8" x14ac:dyDescent="0.2">
      <c r="A131" t="s">
        <v>810</v>
      </c>
      <c r="B131">
        <v>775</v>
      </c>
      <c r="C131">
        <v>3721</v>
      </c>
      <c r="D131" t="str">
        <f>VLOOKUP(B131,[1]ManipulationPage!$A$3:$D$541,4,FALSE)</f>
        <v>Baking_verified</v>
      </c>
      <c r="E131" t="str">
        <f>IF(VLOOKUP(B131,DishNotes!$B$2:$E$573,4,FALSE)="!","!","")</f>
        <v/>
      </c>
    </row>
    <row r="132" spans="1:8" x14ac:dyDescent="0.2">
      <c r="A132" t="s">
        <v>851</v>
      </c>
      <c r="B132">
        <v>461</v>
      </c>
      <c r="C132">
        <v>3085</v>
      </c>
      <c r="D132" t="str">
        <f>VLOOKUP(B132,[1]ManipulationPage!$A$3:$D$541,4,FALSE)</f>
        <v>Baking_verified</v>
      </c>
      <c r="E132" t="str">
        <f>IF(VLOOKUP(B132,DishNotes!$B$2:$E$573,4,FALSE)="!","!","")</f>
        <v/>
      </c>
      <c r="F132" t="s">
        <v>1483</v>
      </c>
      <c r="G132" t="s">
        <v>1484</v>
      </c>
      <c r="H132" t="s">
        <v>1483</v>
      </c>
    </row>
    <row r="133" spans="1:8" x14ac:dyDescent="0.2">
      <c r="A133" t="s">
        <v>854</v>
      </c>
      <c r="B133">
        <v>587</v>
      </c>
      <c r="C133">
        <v>3273</v>
      </c>
      <c r="D133" t="str">
        <f>VLOOKUP(B133,[1]ManipulationPage!$A$3:$D$541,4,FALSE)</f>
        <v>Baking_verified</v>
      </c>
      <c r="E133" t="str">
        <f>IF(VLOOKUP(B133,DishNotes!$B$2:$E$573,4,FALSE)="!","!","")</f>
        <v/>
      </c>
      <c r="F133" t="s">
        <v>1485</v>
      </c>
    </row>
    <row r="134" spans="1:8" x14ac:dyDescent="0.2">
      <c r="A134" t="s">
        <v>858</v>
      </c>
      <c r="B134">
        <v>36</v>
      </c>
      <c r="C134">
        <v>1166</v>
      </c>
      <c r="D134" t="str">
        <f>VLOOKUP(B134,[1]ManipulationPage!$A$3:$D$541,4,FALSE)</f>
        <v>Baking_verified</v>
      </c>
      <c r="E134" t="str">
        <f>IF(VLOOKUP(B134,DishNotes!$B$2:$E$573,4,FALSE)="!","!","")</f>
        <v>!</v>
      </c>
      <c r="F134" t="s">
        <v>1487</v>
      </c>
      <c r="G134" t="s">
        <v>1488</v>
      </c>
      <c r="H134" t="s">
        <v>1489</v>
      </c>
    </row>
    <row r="135" spans="1:8" ht="24" x14ac:dyDescent="0.3">
      <c r="A135" t="s">
        <v>123</v>
      </c>
      <c r="B135">
        <v>1080</v>
      </c>
      <c r="C135">
        <v>8818</v>
      </c>
      <c r="D135" t="str">
        <f>VLOOKUP(B135,[1]ManipulationPage!$A$3:$D$541,4,FALSE)</f>
        <v>Brazil</v>
      </c>
      <c r="E135" s="6" t="str">
        <f>IF(VLOOKUP(B135,DishNotes!$B$2:$E$573,4,FALSE)="!","!","")</f>
        <v>!</v>
      </c>
    </row>
    <row r="136" spans="1:8" x14ac:dyDescent="0.2">
      <c r="A136" t="s">
        <v>124</v>
      </c>
      <c r="B136">
        <v>1078</v>
      </c>
      <c r="C136">
        <v>8774</v>
      </c>
      <c r="D136" t="str">
        <f>VLOOKUP(B136,[1]ManipulationPage!$A$3:$D$541,4,FALSE)</f>
        <v>Brazil</v>
      </c>
      <c r="E136" t="str">
        <f>IF(VLOOKUP(B136,DishNotes!$B$2:$E$573,4,FALSE)="!","!","")</f>
        <v/>
      </c>
    </row>
    <row r="137" spans="1:8" x14ac:dyDescent="0.2">
      <c r="A137" t="s">
        <v>69</v>
      </c>
      <c r="B137">
        <v>145</v>
      </c>
      <c r="C137">
        <v>1772</v>
      </c>
      <c r="D137" t="str">
        <f>VLOOKUP(B137,[1]ManipulationPage!$A$3:$D$541,4,FALSE)</f>
        <v>Burger</v>
      </c>
      <c r="E137" t="str">
        <f>IF(VLOOKUP(B137,DishNotes!$B$2:$E$573,4,FALSE)="!","!","")</f>
        <v>!</v>
      </c>
      <c r="F137" t="s">
        <v>941</v>
      </c>
      <c r="G137" t="s">
        <v>942</v>
      </c>
      <c r="H137" t="s">
        <v>943</v>
      </c>
    </row>
    <row r="138" spans="1:8" x14ac:dyDescent="0.2">
      <c r="A138" t="s">
        <v>90</v>
      </c>
      <c r="B138">
        <v>222</v>
      </c>
      <c r="C138">
        <v>2217</v>
      </c>
      <c r="D138" t="str">
        <f>VLOOKUP(B138,[1]ManipulationPage!$A$3:$D$541,4,FALSE)</f>
        <v>Burger</v>
      </c>
      <c r="E138" t="str">
        <f>IF(VLOOKUP(B138,DishNotes!$B$2:$E$573,4,FALSE)="!","!","")</f>
        <v>!</v>
      </c>
      <c r="F138" t="s">
        <v>957</v>
      </c>
      <c r="G138" t="s">
        <v>958</v>
      </c>
      <c r="H138" t="s">
        <v>959</v>
      </c>
    </row>
    <row r="139" spans="1:8" x14ac:dyDescent="0.2">
      <c r="A139" t="s">
        <v>111</v>
      </c>
      <c r="B139">
        <v>220</v>
      </c>
      <c r="C139">
        <v>2205</v>
      </c>
      <c r="D139" t="str">
        <f>VLOOKUP(B139,[1]ManipulationPage!$A$3:$D$541,4,FALSE)</f>
        <v>Burger</v>
      </c>
      <c r="E139" t="str">
        <f>IF(VLOOKUP(B139,DishNotes!$B$2:$E$573,4,FALSE)="!","!","")</f>
        <v>!</v>
      </c>
      <c r="F139" t="s">
        <v>972</v>
      </c>
      <c r="G139" t="s">
        <v>972</v>
      </c>
      <c r="H139" t="s">
        <v>973</v>
      </c>
    </row>
    <row r="140" spans="1:8" x14ac:dyDescent="0.2">
      <c r="A140" t="s">
        <v>225</v>
      </c>
      <c r="B140">
        <v>221</v>
      </c>
      <c r="C140">
        <v>2211</v>
      </c>
      <c r="D140" t="str">
        <f>VLOOKUP(B140,[1]ManipulationPage!$A$3:$D$541,4,FALSE)</f>
        <v>Burger</v>
      </c>
      <c r="E140" t="str">
        <f>IF(VLOOKUP(B140,DishNotes!$B$2:$E$573,4,FALSE)="!","!","")</f>
        <v>!</v>
      </c>
      <c r="F140" t="s">
        <v>1055</v>
      </c>
      <c r="G140" t="s">
        <v>1055</v>
      </c>
      <c r="H140" t="s">
        <v>1056</v>
      </c>
    </row>
    <row r="141" spans="1:8" x14ac:dyDescent="0.2">
      <c r="A141" t="s">
        <v>431</v>
      </c>
      <c r="B141">
        <v>1097</v>
      </c>
      <c r="C141">
        <v>9512</v>
      </c>
      <c r="D141" t="str">
        <f>VLOOKUP(B141,[1]ManipulationPage!$A$3:$D$541,4,FALSE)</f>
        <v>Burger</v>
      </c>
      <c r="E141" t="str">
        <f>IF(VLOOKUP(B141,DishNotes!$B$2:$E$573,4,FALSE)="!","!","")</f>
        <v>!</v>
      </c>
      <c r="F141" t="s">
        <v>941</v>
      </c>
      <c r="G141" t="s">
        <v>942</v>
      </c>
      <c r="H141" t="s">
        <v>943</v>
      </c>
    </row>
    <row r="142" spans="1:8" x14ac:dyDescent="0.2">
      <c r="A142" t="s">
        <v>505</v>
      </c>
      <c r="B142">
        <v>226</v>
      </c>
      <c r="C142">
        <v>2233</v>
      </c>
      <c r="D142" t="str">
        <f>VLOOKUP(B142,[1]ManipulationPage!$A$3:$D$541,4,FALSE)</f>
        <v>Burger</v>
      </c>
      <c r="E142" t="str">
        <f>IF(VLOOKUP(B142,DishNotes!$B$2:$E$573,4,FALSE)="!","!","")</f>
        <v>!</v>
      </c>
      <c r="F142" t="s">
        <v>1215</v>
      </c>
      <c r="G142" t="s">
        <v>1215</v>
      </c>
      <c r="H142" t="s">
        <v>1216</v>
      </c>
    </row>
    <row r="143" spans="1:8" x14ac:dyDescent="0.2">
      <c r="A143" t="s">
        <v>644</v>
      </c>
      <c r="B143">
        <v>332</v>
      </c>
      <c r="C143">
        <v>2765</v>
      </c>
      <c r="D143" t="str">
        <f>VLOOKUP(B143,[1]ManipulationPage!$A$3:$D$541,4,FALSE)</f>
        <v>Burger</v>
      </c>
      <c r="E143" t="str">
        <f>IF(VLOOKUP(B143,DishNotes!$B$2:$E$573,4,FALSE)="!","!","")</f>
        <v/>
      </c>
      <c r="F143" t="s">
        <v>1342</v>
      </c>
      <c r="G143" t="s">
        <v>1342</v>
      </c>
      <c r="H143" t="s">
        <v>1342</v>
      </c>
    </row>
    <row r="144" spans="1:8" x14ac:dyDescent="0.2">
      <c r="A144" t="s">
        <v>653</v>
      </c>
      <c r="B144">
        <v>67</v>
      </c>
      <c r="C144">
        <v>1332</v>
      </c>
      <c r="D144" t="str">
        <f>VLOOKUP(B144,[1]ManipulationPage!$A$3:$D$541,4,FALSE)</f>
        <v>Burger</v>
      </c>
      <c r="E144" t="str">
        <f>IF(VLOOKUP(B144,DishNotes!$B$2:$E$573,4,FALSE)="!","!","")</f>
        <v>!</v>
      </c>
      <c r="F144" t="s">
        <v>1352</v>
      </c>
      <c r="G144" t="s">
        <v>1352</v>
      </c>
      <c r="H144" t="s">
        <v>1353</v>
      </c>
    </row>
    <row r="145" spans="1:10" x14ac:dyDescent="0.2">
      <c r="A145" t="s">
        <v>800</v>
      </c>
      <c r="B145">
        <v>225</v>
      </c>
      <c r="C145">
        <v>2229</v>
      </c>
      <c r="D145" t="str">
        <f>VLOOKUP(B145,[1]ManipulationPage!$A$3:$D$541,4,FALSE)</f>
        <v>Burger</v>
      </c>
      <c r="E145" t="str">
        <f>IF(VLOOKUP(B145,DishNotes!$B$2:$E$573,4,FALSE)="!","!","")</f>
        <v>!</v>
      </c>
      <c r="F145" t="s">
        <v>1448</v>
      </c>
      <c r="G145" t="s">
        <v>1448</v>
      </c>
      <c r="H145" t="s">
        <v>1449</v>
      </c>
    </row>
    <row r="146" spans="1:10" x14ac:dyDescent="0.2">
      <c r="A146" t="s">
        <v>859</v>
      </c>
      <c r="B146">
        <v>1047</v>
      </c>
      <c r="C146">
        <v>6737</v>
      </c>
      <c r="D146" t="str">
        <f>VLOOKUP(B146,[1]ManipulationPage!$A$3:$D$541,4,FALSE)</f>
        <v>Burger</v>
      </c>
      <c r="E146" t="str">
        <f>IF(VLOOKUP(B146,DishNotes!$B$2:$E$573,4,FALSE)="!","!","")</f>
        <v>!</v>
      </c>
      <c r="F146" t="s">
        <v>1352</v>
      </c>
      <c r="G146" t="s">
        <v>1352</v>
      </c>
      <c r="H146" t="s">
        <v>1353</v>
      </c>
    </row>
    <row r="147" spans="1:10" x14ac:dyDescent="0.2">
      <c r="A147" t="s">
        <v>40</v>
      </c>
      <c r="B147">
        <v>551</v>
      </c>
      <c r="D147" t="str">
        <f>VLOOKUP(B147,[1]ManipulationPage!$A$3:$D$541,4,FALSE)</f>
        <v>dip</v>
      </c>
      <c r="E147" t="str">
        <f>IF(VLOOKUP(B147,DishNotes!$B$2:$E$573,4,FALSE)="!","!","")</f>
        <v/>
      </c>
    </row>
    <row r="148" spans="1:10" x14ac:dyDescent="0.2">
      <c r="A148" t="s">
        <v>73</v>
      </c>
      <c r="B148">
        <v>139</v>
      </c>
      <c r="C148">
        <v>1724</v>
      </c>
      <c r="D148" t="str">
        <f>VLOOKUP(B148,[1]ManipulationPage!$A$3:$D$541,4,FALSE)</f>
        <v>dip</v>
      </c>
      <c r="E148" t="str">
        <f>IF(VLOOKUP(B148,DishNotes!$B$2:$E$573,4,FALSE)="!","!","")</f>
        <v>!</v>
      </c>
      <c r="F148" t="s">
        <v>944</v>
      </c>
      <c r="G148" t="s">
        <v>945</v>
      </c>
      <c r="H148" t="s">
        <v>946</v>
      </c>
    </row>
    <row r="149" spans="1:10" x14ac:dyDescent="0.2">
      <c r="A149" t="s">
        <v>86</v>
      </c>
      <c r="B149">
        <v>166</v>
      </c>
      <c r="C149">
        <v>1876</v>
      </c>
      <c r="D149" t="str">
        <f>VLOOKUP(B149,[1]ManipulationPage!$A$3:$D$541,4,FALSE)</f>
        <v>dip</v>
      </c>
      <c r="E149" t="str">
        <f>IF(VLOOKUP(B149,DishNotes!$B$2:$E$573,4,FALSE)="!","!","")</f>
        <v/>
      </c>
      <c r="F149" t="s">
        <v>954</v>
      </c>
      <c r="G149" t="s">
        <v>955</v>
      </c>
      <c r="H149" t="s">
        <v>956</v>
      </c>
    </row>
    <row r="150" spans="1:10" x14ac:dyDescent="0.2">
      <c r="A150" t="s">
        <v>110</v>
      </c>
      <c r="B150">
        <v>105</v>
      </c>
      <c r="C150">
        <v>1508</v>
      </c>
      <c r="D150" t="str">
        <f>VLOOKUP(B150,[1]ManipulationPage!$A$3:$D$541,4,FALSE)</f>
        <v>dip</v>
      </c>
      <c r="E150" t="str">
        <f>IF(VLOOKUP(B150,DishNotes!$B$2:$E$573,4,FALSE)="!","!","")</f>
        <v>!</v>
      </c>
      <c r="F150" t="s">
        <v>969</v>
      </c>
      <c r="G150" t="s">
        <v>970</v>
      </c>
      <c r="H150" t="s">
        <v>971</v>
      </c>
    </row>
    <row r="151" spans="1:10" x14ac:dyDescent="0.2">
      <c r="A151" t="s">
        <v>162</v>
      </c>
      <c r="B151">
        <v>190</v>
      </c>
      <c r="C151">
        <v>2013</v>
      </c>
      <c r="D151" t="str">
        <f>VLOOKUP(B151,[1]ManipulationPage!$A$3:$D$541,4,FALSE)</f>
        <v>dip</v>
      </c>
      <c r="E151" t="str">
        <f>IF(VLOOKUP(B151,DishNotes!$B$2:$E$573,4,FALSE)="!","!","")</f>
        <v/>
      </c>
      <c r="F151" t="s">
        <v>1007</v>
      </c>
      <c r="G151" t="s">
        <v>1007</v>
      </c>
      <c r="H151" t="s">
        <v>1008</v>
      </c>
    </row>
    <row r="152" spans="1:10" x14ac:dyDescent="0.2">
      <c r="A152" t="s">
        <v>190</v>
      </c>
      <c r="B152">
        <v>194</v>
      </c>
      <c r="C152">
        <v>2037</v>
      </c>
      <c r="D152" t="str">
        <f>VLOOKUP(B152,[1]ManipulationPage!$A$3:$D$541,4,FALSE)</f>
        <v>dip</v>
      </c>
      <c r="E152" t="str">
        <f>IF(VLOOKUP(B152,DishNotes!$B$2:$E$573,4,FALSE)="!","!","")</f>
        <v/>
      </c>
      <c r="F152" t="s">
        <v>1021</v>
      </c>
      <c r="G152" t="s">
        <v>1021</v>
      </c>
      <c r="H152" t="s">
        <v>1022</v>
      </c>
    </row>
    <row r="153" spans="1:10" x14ac:dyDescent="0.2">
      <c r="A153" t="s">
        <v>209</v>
      </c>
      <c r="B153">
        <v>1091</v>
      </c>
      <c r="C153">
        <v>9252</v>
      </c>
      <c r="D153" t="str">
        <f>VLOOKUP(B153,[1]ManipulationPage!$A$3:$D$541,4,FALSE)</f>
        <v>dip</v>
      </c>
      <c r="E153" t="str">
        <f>IF(VLOOKUP(B153,DishNotes!$B$2:$E$573,4,FALSE)="!","!","")</f>
        <v/>
      </c>
    </row>
    <row r="154" spans="1:10" x14ac:dyDescent="0.2">
      <c r="A154" t="s">
        <v>258</v>
      </c>
      <c r="B154">
        <v>1039</v>
      </c>
      <c r="C154">
        <v>6329</v>
      </c>
      <c r="D154" t="str">
        <f>VLOOKUP(B154,[1]ManipulationPage!$A$3:$D$541,4,FALSE)</f>
        <v>dip</v>
      </c>
      <c r="E154" t="str">
        <f>IF(VLOOKUP(B154,DishNotes!$B$2:$E$573,4,FALSE)="!","!","")</f>
        <v/>
      </c>
    </row>
    <row r="155" spans="1:10" x14ac:dyDescent="0.2">
      <c r="A155" t="s">
        <v>354</v>
      </c>
      <c r="B155">
        <v>93</v>
      </c>
      <c r="C155">
        <v>1428</v>
      </c>
      <c r="D155" t="str">
        <f>VLOOKUP(B155,[1]ManipulationPage!$A$3:$D$541,4,FALSE)</f>
        <v>dip</v>
      </c>
      <c r="E155" t="str">
        <f>IF(VLOOKUP(B155,DishNotes!$B$2:$E$573,4,FALSE)="!","!","")</f>
        <v>!</v>
      </c>
      <c r="F155" t="s">
        <v>1125</v>
      </c>
      <c r="G155" t="s">
        <v>1126</v>
      </c>
      <c r="H155" t="s">
        <v>1127</v>
      </c>
      <c r="I155" t="s">
        <v>1128</v>
      </c>
      <c r="J155" t="s">
        <v>1129</v>
      </c>
    </row>
    <row r="156" spans="1:10" x14ac:dyDescent="0.2">
      <c r="A156" t="s">
        <v>354</v>
      </c>
      <c r="B156">
        <v>1082</v>
      </c>
      <c r="C156">
        <v>8851</v>
      </c>
      <c r="D156" t="str">
        <f>VLOOKUP(B156,[1]ManipulationPage!$A$3:$D$541,4,FALSE)</f>
        <v>dip</v>
      </c>
      <c r="E156" t="str">
        <f>IF(VLOOKUP(B156,DishNotes!$B$2:$E$573,4,FALSE)="!","!","")</f>
        <v>!</v>
      </c>
      <c r="F156" t="s">
        <v>1125</v>
      </c>
      <c r="G156" t="s">
        <v>1126</v>
      </c>
      <c r="H156" t="s">
        <v>1127</v>
      </c>
      <c r="I156" t="s">
        <v>1128</v>
      </c>
      <c r="J156" t="s">
        <v>1129</v>
      </c>
    </row>
    <row r="157" spans="1:10" x14ac:dyDescent="0.2">
      <c r="A157" t="s">
        <v>520</v>
      </c>
      <c r="B157">
        <v>586</v>
      </c>
      <c r="C157">
        <v>3272</v>
      </c>
      <c r="D157" t="str">
        <f>VLOOKUP(B157,[1]ManipulationPage!$A$3:$D$541,4,FALSE)</f>
        <v>Dip</v>
      </c>
      <c r="E157" t="str">
        <f>IF(VLOOKUP(B157,DishNotes!$B$2:$E$573,4,FALSE)="!","!","")</f>
        <v/>
      </c>
      <c r="F157" t="s">
        <v>1228</v>
      </c>
    </row>
    <row r="158" spans="1:10" x14ac:dyDescent="0.2">
      <c r="A158" t="s">
        <v>520</v>
      </c>
      <c r="B158">
        <v>596</v>
      </c>
      <c r="C158">
        <v>3282</v>
      </c>
      <c r="D158" t="str">
        <f>VLOOKUP(B158,[1]ManipulationPage!$A$3:$D$541,4,FALSE)</f>
        <v>Dip</v>
      </c>
      <c r="E158" t="str">
        <f>IF(VLOOKUP(B158,DishNotes!$B$2:$E$573,4,FALSE)="!","!","")</f>
        <v/>
      </c>
      <c r="F158" t="s">
        <v>1228</v>
      </c>
    </row>
    <row r="159" spans="1:10" x14ac:dyDescent="0.2">
      <c r="A159" t="s">
        <v>539</v>
      </c>
      <c r="B159">
        <v>1093</v>
      </c>
      <c r="C159">
        <v>9260</v>
      </c>
      <c r="D159" t="str">
        <f>VLOOKUP(B159,[1]ManipulationPage!$A$3:$D$541,4,FALSE)</f>
        <v>dip</v>
      </c>
      <c r="E159" t="str">
        <f>IF(VLOOKUP(B159,DishNotes!$B$2:$E$573,4,FALSE)="!","!","")</f>
        <v/>
      </c>
    </row>
    <row r="160" spans="1:10" x14ac:dyDescent="0.2">
      <c r="A160" t="s">
        <v>690</v>
      </c>
      <c r="B160">
        <v>44</v>
      </c>
      <c r="C160">
        <v>1208</v>
      </c>
      <c r="D160" t="str">
        <f>VLOOKUP(B160,[1]ManipulationPage!$A$3:$D$541,4,FALSE)</f>
        <v>dip</v>
      </c>
      <c r="E160" t="str">
        <f>IF(VLOOKUP(B160,DishNotes!$B$2:$E$573,4,FALSE)="!","!","")</f>
        <v>!</v>
      </c>
      <c r="F160" t="s">
        <v>969</v>
      </c>
      <c r="G160" t="s">
        <v>970</v>
      </c>
      <c r="H160" t="s">
        <v>971</v>
      </c>
    </row>
    <row r="161" spans="1:10" x14ac:dyDescent="0.2">
      <c r="A161" t="s">
        <v>691</v>
      </c>
      <c r="B161">
        <v>138</v>
      </c>
      <c r="C161">
        <v>1718</v>
      </c>
      <c r="D161" t="str">
        <f>VLOOKUP(B161,[1]ManipulationPage!$A$3:$D$541,4,FALSE)</f>
        <v>dip</v>
      </c>
      <c r="E161" t="str">
        <f>IF(VLOOKUP(B161,DishNotes!$B$2:$E$573,4,FALSE)="!","!","")</f>
        <v>!</v>
      </c>
      <c r="F161" t="s">
        <v>1372</v>
      </c>
      <c r="G161" t="s">
        <v>1373</v>
      </c>
      <c r="H161" t="s">
        <v>1374</v>
      </c>
    </row>
    <row r="162" spans="1:10" x14ac:dyDescent="0.2">
      <c r="A162" t="s">
        <v>760</v>
      </c>
      <c r="B162">
        <v>146</v>
      </c>
      <c r="C162">
        <v>1780</v>
      </c>
      <c r="D162" t="str">
        <f>VLOOKUP(B162,[1]ManipulationPage!$A$3:$D$541,4,FALSE)</f>
        <v>dip</v>
      </c>
      <c r="E162" t="str">
        <f>IF(VLOOKUP(B162,DishNotes!$B$2:$E$573,4,FALSE)="!","!","")</f>
        <v/>
      </c>
      <c r="F162" t="s">
        <v>1420</v>
      </c>
      <c r="G162" t="s">
        <v>1420</v>
      </c>
      <c r="H162" t="s">
        <v>1420</v>
      </c>
    </row>
    <row r="163" spans="1:10" x14ac:dyDescent="0.2">
      <c r="A163" t="s">
        <v>860</v>
      </c>
      <c r="B163">
        <v>147</v>
      </c>
      <c r="C163">
        <v>1788</v>
      </c>
      <c r="D163" t="str">
        <f>VLOOKUP(B163,[1]ManipulationPage!$A$3:$D$541,4,FALSE)</f>
        <v>dip</v>
      </c>
      <c r="E163" t="str">
        <f>IF(VLOOKUP(B163,DishNotes!$B$2:$E$573,4,FALSE)="!","!","")</f>
        <v/>
      </c>
      <c r="F163" t="s">
        <v>1490</v>
      </c>
      <c r="G163" t="s">
        <v>1491</v>
      </c>
      <c r="H163" t="s">
        <v>1490</v>
      </c>
    </row>
    <row r="164" spans="1:10" x14ac:dyDescent="0.2">
      <c r="A164" t="s">
        <v>740</v>
      </c>
      <c r="B164">
        <v>72</v>
      </c>
      <c r="C164">
        <v>1358</v>
      </c>
      <c r="D164" t="str">
        <f>VLOOKUP(B164,[1]ManipulationPage!$A$3:$D$541,4,FALSE)</f>
        <v>drinks</v>
      </c>
      <c r="E164" t="str">
        <f>IF(VLOOKUP(B164,DishNotes!$B$2:$E$573,4,FALSE)="!","!","")</f>
        <v/>
      </c>
      <c r="F164" t="s">
        <v>1404</v>
      </c>
      <c r="G164" t="s">
        <v>1405</v>
      </c>
      <c r="H164" t="s">
        <v>1406</v>
      </c>
      <c r="J164" t="s">
        <v>1407</v>
      </c>
    </row>
    <row r="165" spans="1:10" x14ac:dyDescent="0.2">
      <c r="A165" t="s">
        <v>877</v>
      </c>
      <c r="B165">
        <v>219</v>
      </c>
      <c r="C165">
        <v>2197</v>
      </c>
      <c r="D165" t="str">
        <f>VLOOKUP(B165,[1]ManipulationPage!$A$3:$D$541,4,FALSE)</f>
        <v>drinks</v>
      </c>
      <c r="E165" t="str">
        <f>IF(VLOOKUP(B165,DishNotes!$B$2:$E$573,4,FALSE)="!","!","")</f>
        <v/>
      </c>
      <c r="F165" t="s">
        <v>1503</v>
      </c>
      <c r="G165" t="s">
        <v>1504</v>
      </c>
      <c r="H165" t="s">
        <v>1505</v>
      </c>
    </row>
    <row r="166" spans="1:10" x14ac:dyDescent="0.2">
      <c r="A166" t="s">
        <v>95</v>
      </c>
      <c r="B166">
        <v>585</v>
      </c>
      <c r="C166">
        <v>3271</v>
      </c>
      <c r="D166" t="str">
        <f>VLOOKUP(B166,[1]ManipulationPage!$A$3:$D$541,4,FALSE)</f>
        <v>France</v>
      </c>
      <c r="E166" t="str">
        <f>IF(VLOOKUP(B166,DishNotes!$B$2:$E$573,4,FALSE)="!","!","")</f>
        <v/>
      </c>
      <c r="F166" t="s">
        <v>960</v>
      </c>
    </row>
    <row r="167" spans="1:10" x14ac:dyDescent="0.2">
      <c r="A167" t="s">
        <v>293</v>
      </c>
      <c r="B167">
        <v>573</v>
      </c>
      <c r="C167">
        <v>3253</v>
      </c>
      <c r="D167" t="str">
        <f>VLOOKUP(B167,[1]ManipulationPage!$A$3:$D$541,4,FALSE)</f>
        <v>France</v>
      </c>
      <c r="E167" t="str">
        <f>IF(VLOOKUP(B167,DishNotes!$B$2:$E$573,4,FALSE)="!","!","")</f>
        <v/>
      </c>
      <c r="F167" t="s">
        <v>1097</v>
      </c>
    </row>
    <row r="168" spans="1:10" x14ac:dyDescent="0.2">
      <c r="A168" t="s">
        <v>376</v>
      </c>
      <c r="B168">
        <v>366</v>
      </c>
      <c r="C168">
        <v>3198</v>
      </c>
      <c r="D168" t="str">
        <f>VLOOKUP(B168,[1]ManipulationPage!$A$3:$D$541,4,FALSE)</f>
        <v>France</v>
      </c>
      <c r="E168" t="str">
        <f>IF(VLOOKUP(B168,DishNotes!$B$2:$E$573,4,FALSE)="!","!","")</f>
        <v>!</v>
      </c>
      <c r="F168" t="s">
        <v>1146</v>
      </c>
    </row>
    <row r="169" spans="1:10" x14ac:dyDescent="0.2">
      <c r="A169" t="s">
        <v>378</v>
      </c>
      <c r="B169">
        <v>1155</v>
      </c>
      <c r="C169">
        <v>10170</v>
      </c>
      <c r="D169" t="str">
        <f>VLOOKUP(B169,[1]ManipulationPage!$A$3:$D$541,4,FALSE)</f>
        <v>France</v>
      </c>
      <c r="E169" t="str">
        <f>IF(VLOOKUP(B169,DishNotes!$B$2:$E$573,4,FALSE)="!","!","")</f>
        <v>!</v>
      </c>
    </row>
    <row r="170" spans="1:10" x14ac:dyDescent="0.2">
      <c r="A170" t="s">
        <v>526</v>
      </c>
      <c r="B170">
        <v>33</v>
      </c>
      <c r="C170">
        <v>1144</v>
      </c>
      <c r="D170" t="str">
        <f>VLOOKUP(B170,[1]ManipulationPage!$A$3:$D$541,4,FALSE)</f>
        <v>France</v>
      </c>
      <c r="E170" t="str">
        <f>IF(VLOOKUP(B170,DishNotes!$B$2:$E$573,4,FALSE)="!","!","")</f>
        <v>!</v>
      </c>
      <c r="F170" t="s">
        <v>1237</v>
      </c>
      <c r="G170" t="s">
        <v>1238</v>
      </c>
      <c r="H170" t="s">
        <v>1239</v>
      </c>
    </row>
    <row r="171" spans="1:10" x14ac:dyDescent="0.2">
      <c r="A171" t="s">
        <v>530</v>
      </c>
      <c r="B171">
        <v>19</v>
      </c>
      <c r="C171">
        <v>1076</v>
      </c>
      <c r="D171" t="str">
        <f>VLOOKUP(B171,[1]ManipulationPage!$A$3:$D$541,4,FALSE)</f>
        <v>France</v>
      </c>
      <c r="E171" t="str">
        <f>IF(VLOOKUP(B171,DishNotes!$B$2:$E$573,4,FALSE)="!","!","")</f>
        <v/>
      </c>
      <c r="F171" t="s">
        <v>1004</v>
      </c>
      <c r="G171" t="s">
        <v>1005</v>
      </c>
      <c r="H171" t="s">
        <v>1006</v>
      </c>
    </row>
    <row r="172" spans="1:10" x14ac:dyDescent="0.2">
      <c r="A172" t="s">
        <v>662</v>
      </c>
      <c r="B172">
        <v>12</v>
      </c>
      <c r="C172">
        <v>1024</v>
      </c>
      <c r="D172" t="str">
        <f>VLOOKUP(B172,[1]ManipulationPage!$A$3:$D$541,4,FALSE)</f>
        <v>France</v>
      </c>
      <c r="E172" t="str">
        <f>IF(VLOOKUP(B172,DishNotes!$B$2:$E$573,4,FALSE)="!","!","")</f>
        <v/>
      </c>
      <c r="F172" t="s">
        <v>1359</v>
      </c>
      <c r="G172" t="s">
        <v>1360</v>
      </c>
      <c r="H172" t="s">
        <v>1361</v>
      </c>
    </row>
    <row r="173" spans="1:10" x14ac:dyDescent="0.2">
      <c r="A173" t="s">
        <v>693</v>
      </c>
      <c r="B173">
        <v>39</v>
      </c>
      <c r="C173">
        <v>1188</v>
      </c>
      <c r="D173" t="str">
        <f>VLOOKUP(B173,[1]ManipulationPage!$A$3:$D$541,4,FALSE)</f>
        <v>France</v>
      </c>
      <c r="E173" t="str">
        <f>IF(VLOOKUP(B173,DishNotes!$B$2:$E$573,4,FALSE)="!","!","")</f>
        <v>!</v>
      </c>
      <c r="F173" t="s">
        <v>1014</v>
      </c>
      <c r="G173" t="s">
        <v>1015</v>
      </c>
      <c r="H173" t="s">
        <v>1016</v>
      </c>
    </row>
    <row r="174" spans="1:10" x14ac:dyDescent="0.2">
      <c r="A174" t="s">
        <v>82</v>
      </c>
      <c r="B174">
        <v>237</v>
      </c>
      <c r="C174">
        <v>2299</v>
      </c>
      <c r="D174" t="str">
        <f>VLOOKUP(B174,[1]ManipulationPage!$A$3:$D$541,4,FALSE)</f>
        <v>Fries</v>
      </c>
      <c r="E174" t="str">
        <f>IF(VLOOKUP(B174,DishNotes!$B$2:$E$573,4,FALSE)="!","!","")</f>
        <v/>
      </c>
      <c r="F174" t="s">
        <v>952</v>
      </c>
      <c r="G174" t="s">
        <v>953</v>
      </c>
      <c r="H174" t="s">
        <v>952</v>
      </c>
    </row>
    <row r="175" spans="1:10" x14ac:dyDescent="0.2">
      <c r="A175" t="s">
        <v>475</v>
      </c>
      <c r="B175">
        <v>41</v>
      </c>
      <c r="C175">
        <v>1202</v>
      </c>
      <c r="D175" t="str">
        <f>VLOOKUP(B175,[1]ManipulationPage!$A$3:$D$541,4,FALSE)</f>
        <v>Fries</v>
      </c>
      <c r="E175" t="str">
        <f>IF(VLOOKUP(B175,DishNotes!$B$2:$E$573,4,FALSE)="!","!","")</f>
        <v/>
      </c>
      <c r="F175" t="s">
        <v>1196</v>
      </c>
      <c r="G175" t="s">
        <v>1197</v>
      </c>
      <c r="H175" t="s">
        <v>1198</v>
      </c>
    </row>
    <row r="176" spans="1:10" x14ac:dyDescent="0.2">
      <c r="A176" t="s">
        <v>602</v>
      </c>
      <c r="B176">
        <v>236</v>
      </c>
      <c r="C176">
        <v>2293</v>
      </c>
      <c r="D176" t="str">
        <f>VLOOKUP(B176,[1]ManipulationPage!$A$3:$D$541,4,FALSE)</f>
        <v>Fries</v>
      </c>
      <c r="E176" t="str">
        <f>IF(VLOOKUP(B176,DishNotes!$B$2:$E$573,4,FALSE)="!","!","")</f>
        <v/>
      </c>
      <c r="F176" t="s">
        <v>1306</v>
      </c>
      <c r="G176" t="s">
        <v>1307</v>
      </c>
      <c r="H176" t="s">
        <v>1306</v>
      </c>
    </row>
    <row r="177" spans="1:8" x14ac:dyDescent="0.2">
      <c r="A177" t="s">
        <v>798</v>
      </c>
      <c r="B177">
        <v>235</v>
      </c>
      <c r="C177">
        <v>2287</v>
      </c>
      <c r="D177" t="str">
        <f>VLOOKUP(B177,[1]ManipulationPage!$A$3:$D$541,4,FALSE)</f>
        <v>Fries</v>
      </c>
      <c r="E177" t="str">
        <f>IF(VLOOKUP(B177,DishNotes!$B$2:$E$573,4,FALSE)="!","!","")</f>
        <v/>
      </c>
      <c r="F177" t="s">
        <v>1447</v>
      </c>
      <c r="G177" t="s">
        <v>1447</v>
      </c>
      <c r="H177" t="s">
        <v>1447</v>
      </c>
    </row>
    <row r="178" spans="1:8" x14ac:dyDescent="0.2">
      <c r="A178" t="s">
        <v>879</v>
      </c>
      <c r="B178">
        <v>910</v>
      </c>
      <c r="C178">
        <v>4036</v>
      </c>
      <c r="D178" t="str">
        <f>VLOOKUP(B178,[1]ManipulationPage!$A$3:$D$541,4,FALSE)</f>
        <v>Fries</v>
      </c>
      <c r="E178" t="str">
        <f>IF(VLOOKUP(B178,DishNotes!$B$2:$E$573,4,FALSE)="!","!","")</f>
        <v/>
      </c>
      <c r="F178" t="s">
        <v>1166</v>
      </c>
      <c r="G178" t="s">
        <v>1167</v>
      </c>
      <c r="H178" t="s">
        <v>1166</v>
      </c>
    </row>
    <row r="179" spans="1:8" x14ac:dyDescent="0.2">
      <c r="A179" t="s">
        <v>204</v>
      </c>
      <c r="B179">
        <v>301</v>
      </c>
      <c r="C179">
        <v>2673</v>
      </c>
      <c r="D179" t="str">
        <f>VLOOKUP(B179,[1]ManipulationPage!$A$3:$D$541,4,FALSE)</f>
        <v>India</v>
      </c>
      <c r="E179" t="str">
        <f>IF(VLOOKUP(B179,DishNotes!$B$2:$E$573,4,FALSE)="!","!","")</f>
        <v>!</v>
      </c>
      <c r="F179" t="s">
        <v>1039</v>
      </c>
      <c r="G179" t="s">
        <v>1040</v>
      </c>
      <c r="H179" t="s">
        <v>1041</v>
      </c>
    </row>
    <row r="180" spans="1:8" x14ac:dyDescent="0.2">
      <c r="A180" t="s">
        <v>346</v>
      </c>
      <c r="B180">
        <v>30</v>
      </c>
      <c r="C180">
        <v>1126</v>
      </c>
      <c r="D180" t="str">
        <f>VLOOKUP(B180,[1]ManipulationPage!$A$3:$D$541,4,FALSE)</f>
        <v>India</v>
      </c>
      <c r="E180" t="str">
        <f>IF(VLOOKUP(B180,DishNotes!$B$2:$E$573,4,FALSE)="!","!","")</f>
        <v>!</v>
      </c>
      <c r="F180" t="s">
        <v>1122</v>
      </c>
      <c r="G180" t="s">
        <v>1123</v>
      </c>
      <c r="H180" t="s">
        <v>1124</v>
      </c>
    </row>
    <row r="181" spans="1:8" x14ac:dyDescent="0.2">
      <c r="A181" t="s">
        <v>351</v>
      </c>
      <c r="B181">
        <v>18</v>
      </c>
      <c r="C181">
        <v>1070</v>
      </c>
      <c r="D181" t="str">
        <f>VLOOKUP(B181,[1]ManipulationPage!$A$3:$D$541,4,FALSE)</f>
        <v>India</v>
      </c>
      <c r="E181" t="str">
        <f>IF(VLOOKUP(B181,DishNotes!$B$2:$E$573,4,FALSE)="!","!","")</f>
        <v>!</v>
      </c>
      <c r="F181" t="s">
        <v>1101</v>
      </c>
      <c r="G181" t="s">
        <v>1102</v>
      </c>
      <c r="H181" t="s">
        <v>1103</v>
      </c>
    </row>
    <row r="182" spans="1:8" ht="24" x14ac:dyDescent="0.3">
      <c r="A182" t="s">
        <v>456</v>
      </c>
      <c r="B182">
        <v>923</v>
      </c>
      <c r="D182" t="str">
        <f>VLOOKUP(B182,[1]ManipulationPage!$A$3:$D$541,4,FALSE)</f>
        <v>India</v>
      </c>
      <c r="E182" s="6" t="str">
        <f>IF(VLOOKUP(B182,DishNotes!$B$2:$E$573,4,FALSE)="!","!","")</f>
        <v>!</v>
      </c>
    </row>
    <row r="183" spans="1:8" x14ac:dyDescent="0.2">
      <c r="A183" t="s">
        <v>457</v>
      </c>
      <c r="B183">
        <v>103</v>
      </c>
      <c r="C183">
        <v>1494</v>
      </c>
      <c r="D183" t="str">
        <f>VLOOKUP(B183,[1]ManipulationPage!$A$3:$D$541,4,FALSE)</f>
        <v>India</v>
      </c>
      <c r="E183" t="str">
        <f>IF(VLOOKUP(B183,DishNotes!$B$2:$E$573,4,FALSE)="!","!","")</f>
        <v/>
      </c>
      <c r="F183" t="s">
        <v>1186</v>
      </c>
      <c r="G183" t="s">
        <v>1187</v>
      </c>
      <c r="H183" t="s">
        <v>1188</v>
      </c>
    </row>
    <row r="184" spans="1:8" x14ac:dyDescent="0.2">
      <c r="A184" t="s">
        <v>634</v>
      </c>
      <c r="B184">
        <v>167</v>
      </c>
      <c r="C184">
        <v>1880</v>
      </c>
      <c r="D184" t="str">
        <f>VLOOKUP(B184,[1]ManipulationPage!$A$3:$D$541,4,FALSE)</f>
        <v>India</v>
      </c>
      <c r="E184" t="str">
        <f>IF(VLOOKUP(B184,DishNotes!$B$2:$E$573,4,FALSE)="!","!","")</f>
        <v>!</v>
      </c>
      <c r="F184" t="s">
        <v>1334</v>
      </c>
      <c r="G184" t="s">
        <v>1335</v>
      </c>
      <c r="H184" t="s">
        <v>1336</v>
      </c>
    </row>
    <row r="185" spans="1:8" x14ac:dyDescent="0.2">
      <c r="A185" t="s">
        <v>850</v>
      </c>
      <c r="B185">
        <v>17</v>
      </c>
      <c r="C185">
        <v>1060</v>
      </c>
      <c r="D185" t="str">
        <f>VLOOKUP(B185,[1]ManipulationPage!$A$3:$D$541,4,FALSE)</f>
        <v>India</v>
      </c>
      <c r="E185" t="str">
        <f>IF(VLOOKUP(B185,DishNotes!$B$2:$E$573,4,FALSE)="!","!","")</f>
        <v>!</v>
      </c>
      <c r="F185" t="s">
        <v>1480</v>
      </c>
      <c r="G185" t="s">
        <v>1481</v>
      </c>
      <c r="H185" t="s">
        <v>1482</v>
      </c>
    </row>
    <row r="186" spans="1:8" x14ac:dyDescent="0.2">
      <c r="A186" t="s">
        <v>57</v>
      </c>
      <c r="B186">
        <v>974</v>
      </c>
      <c r="C186">
        <v>5204</v>
      </c>
      <c r="D186" t="str">
        <f>VLOOKUP(B186,[1]ManipulationPage!$A$3:$D$541,4,FALSE)</f>
        <v>Italy</v>
      </c>
      <c r="E186" t="str">
        <f>IF(VLOOKUP(B186,DishNotes!$B$2:$E$573,4,FALSE)="!","!","")</f>
        <v/>
      </c>
    </row>
    <row r="187" spans="1:8" ht="24" x14ac:dyDescent="0.3">
      <c r="A187" t="s">
        <v>94</v>
      </c>
      <c r="B187">
        <v>973</v>
      </c>
      <c r="C187">
        <v>5198</v>
      </c>
      <c r="D187" t="str">
        <f>VLOOKUP(B187,[1]ManipulationPage!$A$3:$D$541,4,FALSE)</f>
        <v>Italy</v>
      </c>
      <c r="E187" s="6" t="str">
        <f>IF(VLOOKUP(B187,DishNotes!$B$2:$E$573,4,FALSE)="!","!","")</f>
        <v>!</v>
      </c>
    </row>
    <row r="188" spans="1:8" x14ac:dyDescent="0.2">
      <c r="A188" t="s">
        <v>149</v>
      </c>
      <c r="B188">
        <v>1158</v>
      </c>
      <c r="C188">
        <v>10382</v>
      </c>
      <c r="D188" t="str">
        <f>VLOOKUP(B188,[1]ManipulationPage!$A$3:$D$541,4,FALSE)</f>
        <v>Italy</v>
      </c>
      <c r="E188" t="str">
        <f>IF(VLOOKUP(B188,DishNotes!$B$2:$E$573,4,FALSE)="!","!","")</f>
        <v/>
      </c>
      <c r="F188" t="s">
        <v>996</v>
      </c>
    </row>
    <row r="189" spans="1:8" ht="24" x14ac:dyDescent="0.3">
      <c r="A189" t="s">
        <v>167</v>
      </c>
      <c r="B189">
        <v>972</v>
      </c>
      <c r="C189">
        <v>5192</v>
      </c>
      <c r="D189" t="str">
        <f>VLOOKUP(B189,[1]ManipulationPage!$A$3:$D$541,4,FALSE)</f>
        <v>Italy</v>
      </c>
      <c r="E189" s="6" t="str">
        <f>IF(VLOOKUP(B189,DishNotes!$B$2:$E$573,4,FALSE)="!","!","")</f>
        <v>!</v>
      </c>
    </row>
    <row r="190" spans="1:8" x14ac:dyDescent="0.2">
      <c r="A190" t="s">
        <v>270</v>
      </c>
      <c r="B190">
        <v>65</v>
      </c>
      <c r="C190">
        <v>1318</v>
      </c>
      <c r="D190" t="str">
        <f>VLOOKUP(B190,[1]ManipulationPage!$A$3:$D$541,4,FALSE)</f>
        <v>Italy</v>
      </c>
      <c r="E190" t="str">
        <f>IF(VLOOKUP(B190,DishNotes!$B$2:$E$573,4,FALSE)="!","!","")</f>
        <v>!</v>
      </c>
      <c r="F190" t="s">
        <v>1081</v>
      </c>
      <c r="G190" t="s">
        <v>1082</v>
      </c>
      <c r="H190" t="s">
        <v>1083</v>
      </c>
    </row>
    <row r="191" spans="1:8" x14ac:dyDescent="0.2">
      <c r="A191" t="s">
        <v>359</v>
      </c>
      <c r="B191">
        <v>173</v>
      </c>
      <c r="C191">
        <v>1917</v>
      </c>
      <c r="D191" t="str">
        <f>VLOOKUP(B191,[1]ManipulationPage!$A$3:$D$541,4,FALSE)</f>
        <v>Italy</v>
      </c>
      <c r="E191" t="str">
        <f>IF(VLOOKUP(B191,DishNotes!$B$2:$E$573,4,FALSE)="!","!","")</f>
        <v>!</v>
      </c>
      <c r="F191" t="s">
        <v>1135</v>
      </c>
      <c r="G191" t="s">
        <v>1135</v>
      </c>
      <c r="H191" t="s">
        <v>1135</v>
      </c>
    </row>
    <row r="192" spans="1:8" x14ac:dyDescent="0.2">
      <c r="A192" t="s">
        <v>411</v>
      </c>
      <c r="B192">
        <v>302</v>
      </c>
      <c r="C192">
        <v>2679</v>
      </c>
      <c r="D192" t="str">
        <f>VLOOKUP(B192,[1]ManipulationPage!$A$3:$D$541,4,FALSE)</f>
        <v>Italy</v>
      </c>
      <c r="E192" t="str">
        <f>IF(VLOOKUP(B192,DishNotes!$B$2:$E$573,4,FALSE)="!","!","")</f>
        <v/>
      </c>
      <c r="F192" t="s">
        <v>1161</v>
      </c>
      <c r="G192" t="s">
        <v>1162</v>
      </c>
      <c r="H192" t="s">
        <v>1161</v>
      </c>
    </row>
    <row r="193" spans="1:10" ht="24" x14ac:dyDescent="0.3">
      <c r="A193" t="s">
        <v>462</v>
      </c>
      <c r="B193">
        <v>847</v>
      </c>
      <c r="D193" t="str">
        <f>VLOOKUP(B193,[1]ManipulationPage!$A$3:$D$541,4,FALSE)</f>
        <v>Italy</v>
      </c>
      <c r="E193" s="6" t="str">
        <f>IF(VLOOKUP(B193,DishNotes!$B$2:$E$573,4,FALSE)="!","!","")</f>
        <v>!</v>
      </c>
    </row>
    <row r="194" spans="1:10" x14ac:dyDescent="0.2">
      <c r="A194" t="s">
        <v>487</v>
      </c>
      <c r="B194">
        <v>92</v>
      </c>
      <c r="C194">
        <v>1422</v>
      </c>
      <c r="D194" t="str">
        <f>VLOOKUP(B194,[1]ManipulationPage!$A$3:$D$541,4,FALSE)</f>
        <v>Italy</v>
      </c>
      <c r="E194" t="str">
        <f>IF(VLOOKUP(B194,DishNotes!$B$2:$E$573,4,FALSE)="!","!","")</f>
        <v>!</v>
      </c>
      <c r="F194" t="s">
        <v>1206</v>
      </c>
      <c r="G194" t="s">
        <v>1207</v>
      </c>
      <c r="H194" t="s">
        <v>1208</v>
      </c>
      <c r="I194" t="s">
        <v>1209</v>
      </c>
      <c r="J194" t="s">
        <v>1210</v>
      </c>
    </row>
    <row r="195" spans="1:10" x14ac:dyDescent="0.2">
      <c r="A195" t="s">
        <v>555</v>
      </c>
      <c r="B195">
        <v>175</v>
      </c>
      <c r="C195">
        <v>1929</v>
      </c>
      <c r="D195" t="str">
        <f>VLOOKUP(B195,[1]ManipulationPage!$A$3:$D$541,4,FALSE)</f>
        <v>Italy</v>
      </c>
      <c r="E195" t="str">
        <f>IF(VLOOKUP(B195,DishNotes!$B$2:$E$573,4,FALSE)="!","!","")</f>
        <v>!</v>
      </c>
      <c r="F195" t="s">
        <v>1260</v>
      </c>
      <c r="G195" t="s">
        <v>1260</v>
      </c>
      <c r="H195" t="s">
        <v>1260</v>
      </c>
    </row>
    <row r="196" spans="1:10" ht="24" x14ac:dyDescent="0.3">
      <c r="A196" t="s">
        <v>556</v>
      </c>
      <c r="B196">
        <v>971</v>
      </c>
      <c r="C196">
        <v>5186</v>
      </c>
      <c r="D196" t="str">
        <f>VLOOKUP(B196,[1]ManipulationPage!$A$3:$D$541,4,FALSE)</f>
        <v>Italy</v>
      </c>
      <c r="E196" s="6" t="str">
        <f>IF(VLOOKUP(B196,DishNotes!$B$2:$E$573,4,FALSE)="!","!","")</f>
        <v>!</v>
      </c>
    </row>
    <row r="197" spans="1:10" ht="24" x14ac:dyDescent="0.3">
      <c r="A197" t="s">
        <v>601</v>
      </c>
      <c r="B197">
        <v>1156</v>
      </c>
      <c r="C197">
        <v>10198</v>
      </c>
      <c r="D197" t="str">
        <f>VLOOKUP(B197,[1]ManipulationPage!$A$3:$D$541,4,FALSE)</f>
        <v>Italy</v>
      </c>
      <c r="E197" s="6" t="str">
        <f>IF(VLOOKUP(B197,DishNotes!$B$2:$E$573,4,FALSE)="!","!","")</f>
        <v>!</v>
      </c>
    </row>
    <row r="198" spans="1:10" x14ac:dyDescent="0.2">
      <c r="A198" t="s">
        <v>618</v>
      </c>
      <c r="B198">
        <v>86</v>
      </c>
      <c r="C198">
        <v>1390</v>
      </c>
      <c r="D198" t="str">
        <f>VLOOKUP(B198,[1]ManipulationPage!$A$3:$D$541,4,FALSE)</f>
        <v>Italy</v>
      </c>
      <c r="E198" t="str">
        <f>IF(VLOOKUP(B198,DishNotes!$B$2:$E$573,4,FALSE)="!","!","")</f>
        <v>!</v>
      </c>
      <c r="F198" t="s">
        <v>1320</v>
      </c>
      <c r="G198" t="s">
        <v>1321</v>
      </c>
      <c r="H198" t="s">
        <v>1322</v>
      </c>
      <c r="I198" t="s">
        <v>1323</v>
      </c>
      <c r="J198" t="s">
        <v>1324</v>
      </c>
    </row>
    <row r="199" spans="1:10" x14ac:dyDescent="0.2">
      <c r="A199" t="s">
        <v>621</v>
      </c>
      <c r="B199">
        <v>29</v>
      </c>
      <c r="C199">
        <v>1118</v>
      </c>
      <c r="D199" t="str">
        <f>VLOOKUP(B199,[1]ManipulationPage!$A$3:$D$541,4,FALSE)</f>
        <v>Italy</v>
      </c>
      <c r="E199" t="str">
        <f>IF(VLOOKUP(B199,DishNotes!$B$2:$E$573,4,FALSE)="!","!","")</f>
        <v>!</v>
      </c>
      <c r="F199" t="s">
        <v>1325</v>
      </c>
      <c r="G199" t="s">
        <v>1326</v>
      </c>
      <c r="H199" t="s">
        <v>1327</v>
      </c>
    </row>
    <row r="200" spans="1:10" x14ac:dyDescent="0.2">
      <c r="A200" t="s">
        <v>632</v>
      </c>
      <c r="B200">
        <v>358</v>
      </c>
      <c r="C200">
        <v>2855</v>
      </c>
      <c r="D200" t="str">
        <f>VLOOKUP(B200,[1]ManipulationPage!$A$3:$D$541,4,FALSE)</f>
        <v>Italy</v>
      </c>
      <c r="E200" t="str">
        <f>IF(VLOOKUP(B200,DishNotes!$B$2:$E$573,4,FALSE)="!","!","")</f>
        <v/>
      </c>
      <c r="F200" t="s">
        <v>1333</v>
      </c>
    </row>
    <row r="201" spans="1:10" x14ac:dyDescent="0.2">
      <c r="A201" t="s">
        <v>682</v>
      </c>
      <c r="B201">
        <v>87</v>
      </c>
      <c r="C201">
        <v>1396</v>
      </c>
      <c r="D201" t="str">
        <f>VLOOKUP(B201,[1]ManipulationPage!$A$3:$D$541,4,FALSE)</f>
        <v>Italy</v>
      </c>
      <c r="E201" t="str">
        <f>IF(VLOOKUP(B201,DishNotes!$B$2:$E$573,4,FALSE)="!","!","")</f>
        <v>!</v>
      </c>
      <c r="F201" t="s">
        <v>1363</v>
      </c>
      <c r="G201" t="s">
        <v>1364</v>
      </c>
      <c r="H201" t="s">
        <v>1365</v>
      </c>
      <c r="I201" t="s">
        <v>1366</v>
      </c>
      <c r="J201" t="s">
        <v>1367</v>
      </c>
    </row>
    <row r="202" spans="1:10" x14ac:dyDescent="0.2">
      <c r="A202" t="s">
        <v>683</v>
      </c>
      <c r="B202">
        <v>521</v>
      </c>
      <c r="C202">
        <v>3202</v>
      </c>
      <c r="D202" t="str">
        <f>VLOOKUP(B202,[1]ManipulationPage!$A$3:$D$541,4,FALSE)</f>
        <v>Italy</v>
      </c>
      <c r="E202" t="str">
        <f>IF(VLOOKUP(B202,DishNotes!$B$2:$E$573,4,FALSE)="!","!","")</f>
        <v>!</v>
      </c>
      <c r="F202" t="s">
        <v>1368</v>
      </c>
    </row>
    <row r="203" spans="1:10" x14ac:dyDescent="0.2">
      <c r="A203" t="s">
        <v>728</v>
      </c>
      <c r="B203">
        <v>8</v>
      </c>
      <c r="C203">
        <v>996</v>
      </c>
      <c r="D203" t="str">
        <f>VLOOKUP(B203,[1]ManipulationPage!$A$3:$D$541,4,FALSE)</f>
        <v>Italy</v>
      </c>
      <c r="E203" t="str">
        <f>IF(VLOOKUP(B203,DishNotes!$B$2:$E$573,4,FALSE)="!","!","")</f>
        <v>!</v>
      </c>
      <c r="F203" t="s">
        <v>1397</v>
      </c>
      <c r="G203" t="s">
        <v>1398</v>
      </c>
      <c r="H203" t="s">
        <v>1399</v>
      </c>
    </row>
    <row r="204" spans="1:10" x14ac:dyDescent="0.2">
      <c r="A204" t="s">
        <v>895</v>
      </c>
      <c r="B204">
        <v>66</v>
      </c>
      <c r="C204">
        <v>1324</v>
      </c>
      <c r="D204" t="str">
        <f>VLOOKUP(B204,[1]ManipulationPage!$A$3:$D$541,4,FALSE)</f>
        <v>Italy</v>
      </c>
      <c r="E204" t="str">
        <f>IF(VLOOKUP(B204,DishNotes!$B$2:$E$573,4,FALSE)="!","!","")</f>
        <v>!</v>
      </c>
      <c r="F204" t="s">
        <v>1081</v>
      </c>
      <c r="G204" t="s">
        <v>1082</v>
      </c>
      <c r="H204" t="s">
        <v>1083</v>
      </c>
    </row>
    <row r="205" spans="1:10" ht="24" x14ac:dyDescent="0.3">
      <c r="A205" t="s">
        <v>903</v>
      </c>
      <c r="B205">
        <v>975</v>
      </c>
      <c r="C205">
        <v>5232</v>
      </c>
      <c r="D205" t="str">
        <f>VLOOKUP(B205,[1]ManipulationPage!$A$3:$D$541,4,FALSE)</f>
        <v>Italy</v>
      </c>
      <c r="E205" s="6" t="str">
        <f>IF(VLOOKUP(B205,DishNotes!$B$2:$E$573,4,FALSE)="!","!","")</f>
        <v>!</v>
      </c>
    </row>
    <row r="206" spans="1:10" x14ac:dyDescent="0.2">
      <c r="A206" t="s">
        <v>104</v>
      </c>
      <c r="B206">
        <v>1133</v>
      </c>
      <c r="C206">
        <v>9887</v>
      </c>
      <c r="D206" t="str">
        <f>VLOOKUP(B206,[1]ManipulationPage!$A$3:$D$541,4,FALSE)</f>
        <v>Jam</v>
      </c>
      <c r="E206" t="str">
        <f>IF(VLOOKUP(B206,DishNotes!$B$2:$E$573,4,FALSE)="!","!","")</f>
        <v/>
      </c>
      <c r="F206" t="s">
        <v>962</v>
      </c>
      <c r="H206" t="s">
        <v>963</v>
      </c>
    </row>
    <row r="207" spans="1:10" x14ac:dyDescent="0.2">
      <c r="A207" t="s">
        <v>104</v>
      </c>
      <c r="B207">
        <v>1103</v>
      </c>
      <c r="C207">
        <v>9827</v>
      </c>
      <c r="D207" t="str">
        <f>VLOOKUP(B207,[1]ManipulationPage!$A$3:$D$541,4,FALSE)</f>
        <v>Jam</v>
      </c>
      <c r="E207" t="str">
        <f>IF(VLOOKUP(B207,DishNotes!$B$2:$E$573,4,FALSE)="!","!","")</f>
        <v/>
      </c>
      <c r="F207" t="s">
        <v>962</v>
      </c>
      <c r="H207" t="s">
        <v>963</v>
      </c>
    </row>
    <row r="208" spans="1:10" x14ac:dyDescent="0.2">
      <c r="A208" t="s">
        <v>104</v>
      </c>
      <c r="B208">
        <v>1041</v>
      </c>
      <c r="C208">
        <v>6339</v>
      </c>
      <c r="D208" t="str">
        <f>VLOOKUP(B208,[1]ManipulationPage!$A$3:$D$541,4,FALSE)</f>
        <v>Jam</v>
      </c>
      <c r="E208" t="str">
        <f>IF(VLOOKUP(B208,DishNotes!$B$2:$E$573,4,FALSE)="!","!","")</f>
        <v/>
      </c>
      <c r="F208" t="s">
        <v>962</v>
      </c>
      <c r="H208" t="s">
        <v>963</v>
      </c>
    </row>
    <row r="209" spans="1:8" x14ac:dyDescent="0.2">
      <c r="A209" t="s">
        <v>105</v>
      </c>
      <c r="B209">
        <v>1134</v>
      </c>
      <c r="C209">
        <v>9889</v>
      </c>
      <c r="D209" t="str">
        <f>VLOOKUP(B209,[1]ManipulationPage!$A$3:$D$541,4,FALSE)</f>
        <v>Jam</v>
      </c>
      <c r="E209" t="str">
        <f>IF(VLOOKUP(B209,DishNotes!$B$2:$E$573,4,FALSE)="!","!","")</f>
        <v/>
      </c>
      <c r="F209" t="s">
        <v>962</v>
      </c>
      <c r="H209" t="s">
        <v>963</v>
      </c>
    </row>
    <row r="210" spans="1:8" x14ac:dyDescent="0.2">
      <c r="A210" t="s">
        <v>105</v>
      </c>
      <c r="B210">
        <v>1104</v>
      </c>
      <c r="C210">
        <v>9829</v>
      </c>
      <c r="D210" t="str">
        <f>VLOOKUP(B210,[1]ManipulationPage!$A$3:$D$541,4,FALSE)</f>
        <v>Jam</v>
      </c>
      <c r="E210" t="str">
        <f>IF(VLOOKUP(B210,DishNotes!$B$2:$E$573,4,FALSE)="!","!","")</f>
        <v/>
      </c>
      <c r="F210" t="s">
        <v>962</v>
      </c>
      <c r="H210" t="s">
        <v>963</v>
      </c>
    </row>
    <row r="211" spans="1:8" x14ac:dyDescent="0.2">
      <c r="A211" t="s">
        <v>105</v>
      </c>
      <c r="B211">
        <v>1050</v>
      </c>
      <c r="C211">
        <v>7088</v>
      </c>
      <c r="D211" t="str">
        <f>VLOOKUP(B211,[1]ManipulationPage!$A$3:$D$541,4,FALSE)</f>
        <v>Jam</v>
      </c>
      <c r="E211" t="str">
        <f>IF(VLOOKUP(B211,DishNotes!$B$2:$E$573,4,FALSE)="!","!","")</f>
        <v/>
      </c>
      <c r="F211" t="s">
        <v>962</v>
      </c>
      <c r="H211" t="s">
        <v>963</v>
      </c>
    </row>
    <row r="212" spans="1:8" x14ac:dyDescent="0.2">
      <c r="A212" t="s">
        <v>269</v>
      </c>
      <c r="B212">
        <v>1101</v>
      </c>
      <c r="C212">
        <v>9617</v>
      </c>
      <c r="D212" t="str">
        <f>VLOOKUP(B212,[1]ManipulationPage!$A$3:$D$541,4,FALSE)</f>
        <v>Jam</v>
      </c>
      <c r="E212" t="str">
        <f>IF(VLOOKUP(B212,DishNotes!$B$2:$E$573,4,FALSE)="!","!","")</f>
        <v/>
      </c>
      <c r="F212" t="s">
        <v>1079</v>
      </c>
      <c r="H212" t="s">
        <v>1080</v>
      </c>
    </row>
    <row r="213" spans="1:8" x14ac:dyDescent="0.2">
      <c r="A213" t="s">
        <v>360</v>
      </c>
      <c r="B213">
        <v>1088</v>
      </c>
      <c r="C213">
        <v>9028</v>
      </c>
      <c r="D213" t="str">
        <f>VLOOKUP(B213,[1]ManipulationPage!$A$3:$D$541,4,FALSE)</f>
        <v>jam</v>
      </c>
      <c r="E213" t="str">
        <f>IF(VLOOKUP(B213,DishNotes!$B$2:$E$573,4,FALSE)="!","!","")</f>
        <v/>
      </c>
      <c r="F213" t="s">
        <v>1136</v>
      </c>
      <c r="H213" t="s">
        <v>1137</v>
      </c>
    </row>
    <row r="214" spans="1:8" x14ac:dyDescent="0.2">
      <c r="A214" t="s">
        <v>360</v>
      </c>
      <c r="B214">
        <v>1105</v>
      </c>
      <c r="C214">
        <v>9831</v>
      </c>
      <c r="D214" t="str">
        <f>VLOOKUP(B214,[1]ManipulationPage!$A$3:$D$541,4,FALSE)</f>
        <v>jam</v>
      </c>
      <c r="E214" t="str">
        <f>IF(VLOOKUP(B214,DishNotes!$B$2:$E$573,4,FALSE)="!","!","")</f>
        <v/>
      </c>
      <c r="F214" t="s">
        <v>1136</v>
      </c>
      <c r="H214" t="s">
        <v>1137</v>
      </c>
    </row>
    <row r="215" spans="1:8" x14ac:dyDescent="0.2">
      <c r="A215" t="s">
        <v>360</v>
      </c>
      <c r="B215">
        <v>1135</v>
      </c>
      <c r="C215">
        <v>9891</v>
      </c>
      <c r="D215" t="str">
        <f>VLOOKUP(B215,[1]ManipulationPage!$A$3:$D$541,4,FALSE)</f>
        <v>jam</v>
      </c>
      <c r="E215" t="str">
        <f>IF(VLOOKUP(B215,DishNotes!$B$2:$E$573,4,FALSE)="!","!","")</f>
        <v/>
      </c>
      <c r="F215" t="s">
        <v>1136</v>
      </c>
      <c r="H215" t="s">
        <v>1137</v>
      </c>
    </row>
    <row r="216" spans="1:8" x14ac:dyDescent="0.2">
      <c r="A216" t="s">
        <v>361</v>
      </c>
      <c r="B216">
        <v>1042</v>
      </c>
      <c r="C216">
        <v>6333</v>
      </c>
      <c r="D216" t="str">
        <f>VLOOKUP(B216,[1]ManipulationPage!$A$3:$D$541,4,FALSE)</f>
        <v>jam</v>
      </c>
      <c r="E216" t="str">
        <f>IF(VLOOKUP(B216,DishNotes!$B$2:$E$573,4,FALSE)="!","!","")</f>
        <v/>
      </c>
    </row>
    <row r="217" spans="1:8" x14ac:dyDescent="0.2">
      <c r="A217" t="s">
        <v>374</v>
      </c>
      <c r="B217">
        <v>1025</v>
      </c>
      <c r="C217">
        <v>6301</v>
      </c>
      <c r="D217" t="str">
        <f>VLOOKUP(B217,[1]ManipulationPage!$A$3:$D$541,4,FALSE)</f>
        <v>jam</v>
      </c>
      <c r="E217" t="str">
        <f>IF(VLOOKUP(B217,DishNotes!$B$2:$E$573,4,FALSE)="!","!","")</f>
        <v/>
      </c>
    </row>
    <row r="218" spans="1:8" x14ac:dyDescent="0.2">
      <c r="A218" t="s">
        <v>384</v>
      </c>
      <c r="B218">
        <v>983</v>
      </c>
      <c r="C218">
        <v>5379</v>
      </c>
      <c r="D218" t="str">
        <f>VLOOKUP(B218,[1]ManipulationPage!$A$3:$D$541,4,FALSE)</f>
        <v>jam</v>
      </c>
      <c r="E218" t="str">
        <f>IF(VLOOKUP(B218,DishNotes!$B$2:$E$573,4,FALSE)="!","!","")</f>
        <v/>
      </c>
    </row>
    <row r="219" spans="1:8" x14ac:dyDescent="0.2">
      <c r="A219" t="s">
        <v>393</v>
      </c>
      <c r="B219">
        <v>950</v>
      </c>
      <c r="C219">
        <v>4648</v>
      </c>
      <c r="D219" t="str">
        <f>VLOOKUP(B219,[1]ManipulationPage!$A$3:$D$541,4,FALSE)</f>
        <v>jam</v>
      </c>
      <c r="E219" t="str">
        <f>IF(VLOOKUP(B219,DishNotes!$B$2:$E$573,4,FALSE)="!","!","")</f>
        <v/>
      </c>
    </row>
    <row r="220" spans="1:8" x14ac:dyDescent="0.2">
      <c r="A220" t="s">
        <v>394</v>
      </c>
      <c r="B220">
        <v>1100</v>
      </c>
      <c r="C220">
        <v>9615</v>
      </c>
      <c r="D220" t="str">
        <f>VLOOKUP(B220,[1]ManipulationPage!$A$3:$D$541,4,FALSE)</f>
        <v>Jam</v>
      </c>
      <c r="E220" t="str">
        <f>IF(VLOOKUP(B220,DishNotes!$B$2:$E$573,4,FALSE)="!","!","")</f>
        <v/>
      </c>
      <c r="F220" t="s">
        <v>1152</v>
      </c>
      <c r="H220" t="s">
        <v>1080</v>
      </c>
    </row>
    <row r="221" spans="1:8" x14ac:dyDescent="0.2">
      <c r="A221" t="s">
        <v>394</v>
      </c>
      <c r="B221">
        <v>1136</v>
      </c>
      <c r="C221">
        <v>9893</v>
      </c>
      <c r="D221" t="str">
        <f>VLOOKUP(B221,[1]ManipulationPage!$A$3:$D$541,4,FALSE)</f>
        <v>jam</v>
      </c>
      <c r="E221" t="str">
        <f>IF(VLOOKUP(B221,DishNotes!$B$2:$E$573,4,FALSE)="!","!","")</f>
        <v/>
      </c>
      <c r="F221" t="s">
        <v>1136</v>
      </c>
      <c r="H221" t="s">
        <v>1137</v>
      </c>
    </row>
    <row r="222" spans="1:8" x14ac:dyDescent="0.2">
      <c r="A222" t="s">
        <v>394</v>
      </c>
      <c r="B222">
        <v>1137</v>
      </c>
      <c r="C222">
        <v>9895</v>
      </c>
      <c r="D222" t="str">
        <f>VLOOKUP(B222,[1]ManipulationPage!$A$3:$D$541,4,FALSE)</f>
        <v>jam</v>
      </c>
      <c r="E222" t="str">
        <f>IF(VLOOKUP(B222,DishNotes!$B$2:$E$573,4,FALSE)="!","!","")</f>
        <v/>
      </c>
      <c r="F222" t="s">
        <v>1153</v>
      </c>
      <c r="H222" t="s">
        <v>1080</v>
      </c>
    </row>
    <row r="223" spans="1:8" x14ac:dyDescent="0.2">
      <c r="A223" t="s">
        <v>394</v>
      </c>
      <c r="B223">
        <v>1107</v>
      </c>
      <c r="C223">
        <v>9835</v>
      </c>
      <c r="D223" t="str">
        <f>VLOOKUP(B223,[1]ManipulationPage!$A$3:$D$541,4,FALSE)</f>
        <v>jam</v>
      </c>
      <c r="E223" t="str">
        <f>IF(VLOOKUP(B223,DishNotes!$B$2:$E$573,4,FALSE)="!","!","")</f>
        <v/>
      </c>
      <c r="F223" t="s">
        <v>1153</v>
      </c>
      <c r="H223" t="s">
        <v>1080</v>
      </c>
    </row>
    <row r="224" spans="1:8" x14ac:dyDescent="0.2">
      <c r="A224" t="s">
        <v>394</v>
      </c>
      <c r="B224">
        <v>1032</v>
      </c>
      <c r="C224">
        <v>6315</v>
      </c>
      <c r="D224" t="str">
        <f>VLOOKUP(B224,[1]ManipulationPage!$A$3:$D$541,4,FALSE)</f>
        <v>jam</v>
      </c>
      <c r="E224" t="str">
        <f>IF(VLOOKUP(B224,DishNotes!$B$2:$E$573,4,FALSE)="!","!","")</f>
        <v/>
      </c>
      <c r="F224" t="s">
        <v>1136</v>
      </c>
      <c r="H224" t="s">
        <v>1137</v>
      </c>
    </row>
    <row r="225" spans="1:8" x14ac:dyDescent="0.2">
      <c r="A225" t="s">
        <v>394</v>
      </c>
      <c r="B225">
        <v>1031</v>
      </c>
      <c r="C225">
        <v>6313</v>
      </c>
      <c r="D225" t="str">
        <f>VLOOKUP(B225,[1]ManipulationPage!$A$3:$D$541,4,FALSE)</f>
        <v>jam</v>
      </c>
      <c r="E225" t="str">
        <f>IF(VLOOKUP(B225,DishNotes!$B$2:$E$573,4,FALSE)="!","!","")</f>
        <v/>
      </c>
      <c r="F225" t="s">
        <v>1153</v>
      </c>
      <c r="H225" t="s">
        <v>1080</v>
      </c>
    </row>
    <row r="226" spans="1:8" x14ac:dyDescent="0.2">
      <c r="A226" t="s">
        <v>394</v>
      </c>
      <c r="B226">
        <v>1106</v>
      </c>
      <c r="C226">
        <v>9833</v>
      </c>
      <c r="D226" t="str">
        <f>VLOOKUP(B226,[1]ManipulationPage!$A$3:$D$541,4,FALSE)</f>
        <v>jam</v>
      </c>
      <c r="E226" t="str">
        <f>IF(VLOOKUP(B226,DishNotes!$B$2:$E$573,4,FALSE)="!","!","")</f>
        <v/>
      </c>
      <c r="F226" t="s">
        <v>1136</v>
      </c>
      <c r="H226" t="s">
        <v>1137</v>
      </c>
    </row>
    <row r="227" spans="1:8" x14ac:dyDescent="0.2">
      <c r="A227" t="s">
        <v>395</v>
      </c>
      <c r="B227">
        <v>1036</v>
      </c>
      <c r="C227">
        <v>6323</v>
      </c>
      <c r="D227" t="str">
        <f>VLOOKUP(B227,[1]ManipulationPage!$A$3:$D$541,4,FALSE)</f>
        <v>jam</v>
      </c>
      <c r="E227" t="str">
        <f>IF(VLOOKUP(B227,DishNotes!$B$2:$E$573,4,FALSE)="!","!","")</f>
        <v/>
      </c>
      <c r="F227" t="s">
        <v>1136</v>
      </c>
      <c r="H227" t="s">
        <v>1137</v>
      </c>
    </row>
    <row r="228" spans="1:8" x14ac:dyDescent="0.2">
      <c r="A228" t="s">
        <v>395</v>
      </c>
      <c r="B228">
        <v>1138</v>
      </c>
      <c r="C228">
        <v>9897</v>
      </c>
      <c r="D228" t="str">
        <f>VLOOKUP(B228,[1]ManipulationPage!$A$3:$D$541,4,FALSE)</f>
        <v>jam</v>
      </c>
      <c r="E228" t="str">
        <f>IF(VLOOKUP(B228,DishNotes!$B$2:$E$573,4,FALSE)="!","!","")</f>
        <v/>
      </c>
      <c r="F228" t="s">
        <v>1136</v>
      </c>
      <c r="H228" t="s">
        <v>1137</v>
      </c>
    </row>
    <row r="229" spans="1:8" x14ac:dyDescent="0.2">
      <c r="A229" t="s">
        <v>395</v>
      </c>
      <c r="B229">
        <v>1139</v>
      </c>
      <c r="C229">
        <v>9899</v>
      </c>
      <c r="D229" t="str">
        <f>VLOOKUP(B229,[1]ManipulationPage!$A$3:$D$541,4,FALSE)</f>
        <v>jam</v>
      </c>
      <c r="E229" t="str">
        <f>IF(VLOOKUP(B229,DishNotes!$B$2:$E$573,4,FALSE)="!","!","")</f>
        <v/>
      </c>
      <c r="F229" t="s">
        <v>1153</v>
      </c>
      <c r="H229" t="s">
        <v>1080</v>
      </c>
    </row>
    <row r="230" spans="1:8" x14ac:dyDescent="0.2">
      <c r="A230" t="s">
        <v>395</v>
      </c>
      <c r="B230">
        <v>1108</v>
      </c>
      <c r="C230">
        <v>9837</v>
      </c>
      <c r="D230" t="str">
        <f>VLOOKUP(B230,[1]ManipulationPage!$A$3:$D$541,4,FALSE)</f>
        <v>jam</v>
      </c>
      <c r="E230" t="str">
        <f>IF(VLOOKUP(B230,DishNotes!$B$2:$E$573,4,FALSE)="!","!","")</f>
        <v/>
      </c>
      <c r="F230" t="s">
        <v>1136</v>
      </c>
      <c r="H230" t="s">
        <v>1137</v>
      </c>
    </row>
    <row r="231" spans="1:8" x14ac:dyDescent="0.2">
      <c r="A231" t="s">
        <v>395</v>
      </c>
      <c r="B231">
        <v>1109</v>
      </c>
      <c r="C231">
        <v>9839</v>
      </c>
      <c r="D231" t="str">
        <f>VLOOKUP(B231,[1]ManipulationPage!$A$3:$D$541,4,FALSE)</f>
        <v>jam</v>
      </c>
      <c r="E231" t="str">
        <f>IF(VLOOKUP(B231,DishNotes!$B$2:$E$573,4,FALSE)="!","!","")</f>
        <v/>
      </c>
      <c r="F231" t="s">
        <v>1153</v>
      </c>
      <c r="H231" t="s">
        <v>1080</v>
      </c>
    </row>
    <row r="232" spans="1:8" x14ac:dyDescent="0.2">
      <c r="A232" t="s">
        <v>395</v>
      </c>
      <c r="B232">
        <v>1040</v>
      </c>
      <c r="C232">
        <v>6331</v>
      </c>
      <c r="D232" t="str">
        <f>VLOOKUP(B232,[1]ManipulationPage!$A$3:$D$541,4,FALSE)</f>
        <v>jam</v>
      </c>
      <c r="E232" t="str">
        <f>IF(VLOOKUP(B232,DishNotes!$B$2:$E$573,4,FALSE)="!","!","")</f>
        <v/>
      </c>
      <c r="F232" t="s">
        <v>1153</v>
      </c>
      <c r="H232" t="s">
        <v>1080</v>
      </c>
    </row>
    <row r="233" spans="1:8" x14ac:dyDescent="0.2">
      <c r="A233" t="s">
        <v>668</v>
      </c>
      <c r="B233">
        <v>1026</v>
      </c>
      <c r="C233">
        <v>6303</v>
      </c>
      <c r="D233" t="str">
        <f>VLOOKUP(B233,[1]ManipulationPage!$A$3:$D$541,4,FALSE)</f>
        <v>jam</v>
      </c>
      <c r="E233" t="str">
        <f>IF(VLOOKUP(B233,DishNotes!$B$2:$E$573,4,FALSE)="!","!","")</f>
        <v/>
      </c>
    </row>
    <row r="234" spans="1:8" x14ac:dyDescent="0.2">
      <c r="A234" t="s">
        <v>753</v>
      </c>
      <c r="B234">
        <v>1024</v>
      </c>
      <c r="C234">
        <v>6299</v>
      </c>
      <c r="D234" t="str">
        <f>VLOOKUP(B234,[1]ManipulationPage!$A$3:$D$541,4,FALSE)</f>
        <v>jam</v>
      </c>
      <c r="E234" t="str">
        <f>IF(VLOOKUP(B234,DishNotes!$B$2:$E$573,4,FALSE)="!","!","")</f>
        <v/>
      </c>
    </row>
    <row r="235" spans="1:8" x14ac:dyDescent="0.2">
      <c r="A235" t="s">
        <v>774</v>
      </c>
      <c r="B235">
        <v>1029</v>
      </c>
      <c r="C235">
        <v>6309</v>
      </c>
      <c r="D235" t="str">
        <f>VLOOKUP(B235,[1]ManipulationPage!$A$3:$D$541,4,FALSE)</f>
        <v>jam</v>
      </c>
      <c r="E235" t="str">
        <f>IF(VLOOKUP(B235,DishNotes!$B$2:$E$573,4,FALSE)="!","!","")</f>
        <v/>
      </c>
    </row>
    <row r="236" spans="1:8" x14ac:dyDescent="0.2">
      <c r="A236" t="s">
        <v>775</v>
      </c>
      <c r="B236">
        <v>1030</v>
      </c>
      <c r="C236">
        <v>6311</v>
      </c>
      <c r="D236" t="str">
        <f>VLOOKUP(B236,[1]ManipulationPage!$A$3:$D$541,4,FALSE)</f>
        <v>jam</v>
      </c>
      <c r="E236" t="str">
        <f>IF(VLOOKUP(B236,DishNotes!$B$2:$E$573,4,FALSE)="!","!","")</f>
        <v/>
      </c>
    </row>
    <row r="237" spans="1:8" x14ac:dyDescent="0.2">
      <c r="A237" t="s">
        <v>776</v>
      </c>
      <c r="B237">
        <v>1110</v>
      </c>
      <c r="C237">
        <v>9841</v>
      </c>
      <c r="D237" t="str">
        <f>VLOOKUP(B237,[1]ManipulationPage!$A$3:$D$541,4,FALSE)</f>
        <v>jam</v>
      </c>
      <c r="E237" t="str">
        <f>IF(VLOOKUP(B237,DishNotes!$B$2:$E$573,4,FALSE)="!","!","")</f>
        <v/>
      </c>
      <c r="F237" t="s">
        <v>1431</v>
      </c>
      <c r="H237" t="s">
        <v>1432</v>
      </c>
    </row>
    <row r="238" spans="1:8" x14ac:dyDescent="0.2">
      <c r="A238" t="s">
        <v>776</v>
      </c>
      <c r="B238">
        <v>1043</v>
      </c>
      <c r="C238">
        <v>6337</v>
      </c>
      <c r="D238" t="str">
        <f>VLOOKUP(B238,[1]ManipulationPage!$A$3:$D$541,4,FALSE)</f>
        <v>jam</v>
      </c>
      <c r="E238" t="str">
        <f>IF(VLOOKUP(B238,DishNotes!$B$2:$E$573,4,FALSE)="!","!","")</f>
        <v/>
      </c>
      <c r="F238" t="s">
        <v>1431</v>
      </c>
      <c r="H238" t="s">
        <v>1432</v>
      </c>
    </row>
    <row r="239" spans="1:8" x14ac:dyDescent="0.2">
      <c r="A239" t="s">
        <v>776</v>
      </c>
      <c r="B239">
        <v>1140</v>
      </c>
      <c r="C239">
        <v>9901</v>
      </c>
      <c r="D239" t="str">
        <f>VLOOKUP(B239,[1]ManipulationPage!$A$3:$D$541,4,FALSE)</f>
        <v>jam</v>
      </c>
      <c r="E239" t="str">
        <f>IF(VLOOKUP(B239,DishNotes!$B$2:$E$573,4,FALSE)="!","!","")</f>
        <v/>
      </c>
      <c r="F239" t="s">
        <v>1431</v>
      </c>
      <c r="H239" t="s">
        <v>1432</v>
      </c>
    </row>
    <row r="240" spans="1:8" x14ac:dyDescent="0.2">
      <c r="A240" t="s">
        <v>777</v>
      </c>
      <c r="B240">
        <v>1141</v>
      </c>
      <c r="C240">
        <v>9903</v>
      </c>
      <c r="D240" t="str">
        <f>VLOOKUP(B240,[1]ManipulationPage!$A$3:$D$541,4,FALSE)</f>
        <v>jam</v>
      </c>
      <c r="E240" t="str">
        <f>IF(VLOOKUP(B240,DishNotes!$B$2:$E$573,4,FALSE)="!","!","")</f>
        <v/>
      </c>
      <c r="F240" t="s">
        <v>1431</v>
      </c>
      <c r="H240" t="s">
        <v>1432</v>
      </c>
    </row>
    <row r="241" spans="1:8" x14ac:dyDescent="0.2">
      <c r="A241" t="s">
        <v>777</v>
      </c>
      <c r="B241">
        <v>1049</v>
      </c>
      <c r="C241">
        <v>7086</v>
      </c>
      <c r="D241" t="str">
        <f>VLOOKUP(B241,[1]ManipulationPage!$A$3:$D$541,4,FALSE)</f>
        <v>jam</v>
      </c>
      <c r="E241" t="str">
        <f>IF(VLOOKUP(B241,DishNotes!$B$2:$E$573,4,FALSE)="!","!","")</f>
        <v/>
      </c>
      <c r="F241" t="s">
        <v>1431</v>
      </c>
      <c r="H241" t="s">
        <v>1432</v>
      </c>
    </row>
    <row r="242" spans="1:8" x14ac:dyDescent="0.2">
      <c r="A242" t="s">
        <v>777</v>
      </c>
      <c r="B242">
        <v>1111</v>
      </c>
      <c r="C242">
        <v>9843</v>
      </c>
      <c r="D242" t="str">
        <f>VLOOKUP(B242,[1]ManipulationPage!$A$3:$D$541,4,FALSE)</f>
        <v>jam</v>
      </c>
      <c r="E242" t="str">
        <f>IF(VLOOKUP(B242,DishNotes!$B$2:$E$573,4,FALSE)="!","!","")</f>
        <v/>
      </c>
      <c r="F242" t="s">
        <v>1431</v>
      </c>
      <c r="H242" t="s">
        <v>1432</v>
      </c>
    </row>
    <row r="243" spans="1:8" x14ac:dyDescent="0.2">
      <c r="A243" t="s">
        <v>793</v>
      </c>
      <c r="B243">
        <v>1143</v>
      </c>
      <c r="C243">
        <v>9907</v>
      </c>
      <c r="D243" t="str">
        <f>VLOOKUP(B243,[1]ManipulationPage!$A$3:$D$541,4,FALSE)</f>
        <v>jam</v>
      </c>
      <c r="E243" t="str">
        <f>IF(VLOOKUP(B243,DishNotes!$B$2:$E$573,4,FALSE)="!","!","")</f>
        <v/>
      </c>
      <c r="F243" t="s">
        <v>1153</v>
      </c>
      <c r="H243" t="s">
        <v>1080</v>
      </c>
    </row>
    <row r="244" spans="1:8" x14ac:dyDescent="0.2">
      <c r="A244" t="s">
        <v>793</v>
      </c>
      <c r="B244">
        <v>1142</v>
      </c>
      <c r="C244">
        <v>9905</v>
      </c>
      <c r="D244" t="str">
        <f>VLOOKUP(B244,[1]ManipulationPage!$A$3:$D$541,4,FALSE)</f>
        <v>jam</v>
      </c>
      <c r="E244" t="str">
        <f>IF(VLOOKUP(B244,DishNotes!$B$2:$E$573,4,FALSE)="!","!","")</f>
        <v/>
      </c>
      <c r="F244" t="s">
        <v>1136</v>
      </c>
      <c r="H244" t="s">
        <v>1137</v>
      </c>
    </row>
    <row r="245" spans="1:8" x14ac:dyDescent="0.2">
      <c r="A245" t="s">
        <v>793</v>
      </c>
      <c r="B245">
        <v>1113</v>
      </c>
      <c r="C245">
        <v>9847</v>
      </c>
      <c r="D245" t="str">
        <f>VLOOKUP(B245,[1]ManipulationPage!$A$3:$D$541,4,FALSE)</f>
        <v>jam</v>
      </c>
      <c r="E245" t="str">
        <f>IF(VLOOKUP(B245,DishNotes!$B$2:$E$573,4,FALSE)="!","!","")</f>
        <v/>
      </c>
      <c r="F245" t="s">
        <v>1153</v>
      </c>
      <c r="H245" t="s">
        <v>1080</v>
      </c>
    </row>
    <row r="246" spans="1:8" x14ac:dyDescent="0.2">
      <c r="A246" t="s">
        <v>793</v>
      </c>
      <c r="B246">
        <v>1035</v>
      </c>
      <c r="C246">
        <v>6321</v>
      </c>
      <c r="D246" t="str">
        <f>VLOOKUP(B246,[1]ManipulationPage!$A$3:$D$541,4,FALSE)</f>
        <v>jam</v>
      </c>
      <c r="E246" t="str">
        <f>IF(VLOOKUP(B246,DishNotes!$B$2:$E$573,4,FALSE)="!","!","")</f>
        <v/>
      </c>
      <c r="F246" t="s">
        <v>1153</v>
      </c>
      <c r="H246" t="s">
        <v>1080</v>
      </c>
    </row>
    <row r="247" spans="1:8" x14ac:dyDescent="0.2">
      <c r="A247" t="s">
        <v>793</v>
      </c>
      <c r="B247">
        <v>1112</v>
      </c>
      <c r="C247">
        <v>9845</v>
      </c>
      <c r="D247" t="str">
        <f>VLOOKUP(B247,[1]ManipulationPage!$A$3:$D$541,4,FALSE)</f>
        <v>jam</v>
      </c>
      <c r="E247" t="str">
        <f>IF(VLOOKUP(B247,DishNotes!$B$2:$E$573,4,FALSE)="!","!","")</f>
        <v/>
      </c>
      <c r="F247" t="s">
        <v>1136</v>
      </c>
      <c r="H247" t="s">
        <v>1137</v>
      </c>
    </row>
    <row r="248" spans="1:8" x14ac:dyDescent="0.2">
      <c r="A248" t="s">
        <v>793</v>
      </c>
      <c r="B248">
        <v>1034</v>
      </c>
      <c r="C248">
        <v>6319</v>
      </c>
      <c r="D248" t="str">
        <f>VLOOKUP(B248,[1]ManipulationPage!$A$3:$D$541,4,FALSE)</f>
        <v>jam</v>
      </c>
      <c r="E248" t="str">
        <f>IF(VLOOKUP(B248,DishNotes!$B$2:$E$573,4,FALSE)="!","!","")</f>
        <v/>
      </c>
      <c r="F248" t="s">
        <v>1136</v>
      </c>
      <c r="H248" t="s">
        <v>1137</v>
      </c>
    </row>
    <row r="249" spans="1:8" x14ac:dyDescent="0.2">
      <c r="A249" t="s">
        <v>794</v>
      </c>
      <c r="B249">
        <v>1145</v>
      </c>
      <c r="C249">
        <v>9911</v>
      </c>
      <c r="D249" t="str">
        <f>VLOOKUP(B249,[1]ManipulationPage!$A$3:$D$541,4,FALSE)</f>
        <v>jam</v>
      </c>
      <c r="E249" t="str">
        <f>IF(VLOOKUP(B249,DishNotes!$B$2:$E$573,4,FALSE)="!","!","")</f>
        <v/>
      </c>
      <c r="F249" t="s">
        <v>1136</v>
      </c>
      <c r="H249" t="s">
        <v>1137</v>
      </c>
    </row>
    <row r="250" spans="1:8" x14ac:dyDescent="0.2">
      <c r="A250" t="s">
        <v>794</v>
      </c>
      <c r="B250">
        <v>1144</v>
      </c>
      <c r="C250">
        <v>9909</v>
      </c>
      <c r="D250" t="str">
        <f>VLOOKUP(B250,[1]ManipulationPage!$A$3:$D$541,4,FALSE)</f>
        <v>jam</v>
      </c>
      <c r="E250" t="str">
        <f>IF(VLOOKUP(B250,DishNotes!$B$2:$E$573,4,FALSE)="!","!","")</f>
        <v/>
      </c>
      <c r="F250" t="s">
        <v>1153</v>
      </c>
      <c r="H250" t="s">
        <v>1080</v>
      </c>
    </row>
    <row r="251" spans="1:8" x14ac:dyDescent="0.2">
      <c r="A251" t="s">
        <v>794</v>
      </c>
      <c r="B251">
        <v>1038</v>
      </c>
      <c r="C251">
        <v>6327</v>
      </c>
      <c r="D251" t="str">
        <f>VLOOKUP(B251,[1]ManipulationPage!$A$3:$D$541,4,FALSE)</f>
        <v>jam</v>
      </c>
      <c r="E251" t="str">
        <f>IF(VLOOKUP(B251,DishNotes!$B$2:$E$573,4,FALSE)="!","!","")</f>
        <v/>
      </c>
      <c r="F251" t="s">
        <v>1136</v>
      </c>
      <c r="H251" t="s">
        <v>1137</v>
      </c>
    </row>
    <row r="252" spans="1:8" x14ac:dyDescent="0.2">
      <c r="A252" t="s">
        <v>794</v>
      </c>
      <c r="B252">
        <v>1044</v>
      </c>
      <c r="C252">
        <v>6335</v>
      </c>
      <c r="D252" t="str">
        <f>VLOOKUP(B252,[1]ManipulationPage!$A$3:$D$541,4,FALSE)</f>
        <v>jam</v>
      </c>
      <c r="E252" t="str">
        <f>IF(VLOOKUP(B252,DishNotes!$B$2:$E$573,4,FALSE)="!","!","")</f>
        <v/>
      </c>
      <c r="F252" t="s">
        <v>1153</v>
      </c>
      <c r="H252" t="s">
        <v>1080</v>
      </c>
    </row>
    <row r="253" spans="1:8" x14ac:dyDescent="0.2">
      <c r="A253" t="s">
        <v>794</v>
      </c>
      <c r="B253">
        <v>1115</v>
      </c>
      <c r="C253">
        <v>9851</v>
      </c>
      <c r="D253" t="str">
        <f>VLOOKUP(B253,[1]ManipulationPage!$A$3:$D$541,4,FALSE)</f>
        <v>jam</v>
      </c>
      <c r="E253" t="str">
        <f>IF(VLOOKUP(B253,DishNotes!$B$2:$E$573,4,FALSE)="!","!","")</f>
        <v/>
      </c>
      <c r="F253" t="s">
        <v>1136</v>
      </c>
      <c r="H253" t="s">
        <v>1137</v>
      </c>
    </row>
    <row r="254" spans="1:8" x14ac:dyDescent="0.2">
      <c r="A254" t="s">
        <v>794</v>
      </c>
      <c r="B254">
        <v>1114</v>
      </c>
      <c r="C254">
        <v>9849</v>
      </c>
      <c r="D254" t="str">
        <f>VLOOKUP(B254,[1]ManipulationPage!$A$3:$D$541,4,FALSE)</f>
        <v>jam</v>
      </c>
      <c r="E254" t="str">
        <f>IF(VLOOKUP(B254,DishNotes!$B$2:$E$573,4,FALSE)="!","!","")</f>
        <v/>
      </c>
      <c r="F254" t="s">
        <v>1153</v>
      </c>
      <c r="H254" t="s">
        <v>1080</v>
      </c>
    </row>
    <row r="255" spans="1:8" x14ac:dyDescent="0.2">
      <c r="A255" t="s">
        <v>796</v>
      </c>
      <c r="B255">
        <v>1102</v>
      </c>
      <c r="C255">
        <v>9619</v>
      </c>
      <c r="D255" t="str">
        <f>VLOOKUP(B255,[1]ManipulationPage!$A$3:$D$541,4,FALSE)</f>
        <v>Jam</v>
      </c>
      <c r="E255" t="str">
        <f>IF(VLOOKUP(B255,DishNotes!$B$2:$E$573,4,FALSE)="!","!","")</f>
        <v/>
      </c>
      <c r="F255" t="s">
        <v>1446</v>
      </c>
      <c r="H255" t="s">
        <v>1137</v>
      </c>
    </row>
    <row r="256" spans="1:8" x14ac:dyDescent="0.2">
      <c r="A256" t="s">
        <v>796</v>
      </c>
      <c r="B256">
        <v>1116</v>
      </c>
      <c r="C256">
        <v>9853</v>
      </c>
      <c r="D256" t="str">
        <f>VLOOKUP(B256,[1]ManipulationPage!$A$3:$D$541,4,FALSE)</f>
        <v>jam</v>
      </c>
      <c r="E256" t="str">
        <f>IF(VLOOKUP(B256,DishNotes!$B$2:$E$573,4,FALSE)="!","!","")</f>
        <v/>
      </c>
      <c r="F256" t="s">
        <v>1136</v>
      </c>
      <c r="H256" t="s">
        <v>1137</v>
      </c>
    </row>
    <row r="257" spans="1:10" x14ac:dyDescent="0.2">
      <c r="A257" t="s">
        <v>796</v>
      </c>
      <c r="B257">
        <v>1146</v>
      </c>
      <c r="C257">
        <v>9913</v>
      </c>
      <c r="D257" t="str">
        <f>VLOOKUP(B257,[1]ManipulationPage!$A$3:$D$541,4,FALSE)</f>
        <v>jam</v>
      </c>
      <c r="E257" t="str">
        <f>IF(VLOOKUP(B257,DishNotes!$B$2:$E$573,4,FALSE)="!","!","")</f>
        <v/>
      </c>
      <c r="F257" t="s">
        <v>1136</v>
      </c>
      <c r="H257" t="s">
        <v>1137</v>
      </c>
    </row>
    <row r="258" spans="1:10" x14ac:dyDescent="0.2">
      <c r="A258" t="s">
        <v>796</v>
      </c>
      <c r="B258">
        <v>1033</v>
      </c>
      <c r="C258">
        <v>6317</v>
      </c>
      <c r="D258" t="str">
        <f>VLOOKUP(B258,[1]ManipulationPage!$A$3:$D$541,4,FALSE)</f>
        <v>jam</v>
      </c>
      <c r="E258" t="str">
        <f>IF(VLOOKUP(B258,DishNotes!$B$2:$E$573,4,FALSE)="!","!","")</f>
        <v/>
      </c>
      <c r="F258" t="s">
        <v>1136</v>
      </c>
      <c r="H258" t="s">
        <v>1137</v>
      </c>
    </row>
    <row r="259" spans="1:10" x14ac:dyDescent="0.2">
      <c r="A259" t="s">
        <v>797</v>
      </c>
      <c r="B259">
        <v>1147</v>
      </c>
      <c r="C259">
        <v>9915</v>
      </c>
      <c r="D259" t="str">
        <f>VLOOKUP(B259,[1]ManipulationPage!$A$3:$D$541,4,FALSE)</f>
        <v>jam</v>
      </c>
      <c r="E259" t="str">
        <f>IF(VLOOKUP(B259,DishNotes!$B$2:$E$573,4,FALSE)="!","!","")</f>
        <v/>
      </c>
      <c r="F259" t="s">
        <v>1136</v>
      </c>
      <c r="H259" t="s">
        <v>1137</v>
      </c>
    </row>
    <row r="260" spans="1:10" x14ac:dyDescent="0.2">
      <c r="A260" t="s">
        <v>797</v>
      </c>
      <c r="B260">
        <v>1117</v>
      </c>
      <c r="C260">
        <v>9855</v>
      </c>
      <c r="D260" t="str">
        <f>VLOOKUP(B260,[1]ManipulationPage!$A$3:$D$541,4,FALSE)</f>
        <v>jam</v>
      </c>
      <c r="E260" t="str">
        <f>IF(VLOOKUP(B260,DishNotes!$B$2:$E$573,4,FALSE)="!","!","")</f>
        <v/>
      </c>
      <c r="F260" t="s">
        <v>1136</v>
      </c>
      <c r="H260" t="s">
        <v>1137</v>
      </c>
    </row>
    <row r="261" spans="1:10" x14ac:dyDescent="0.2">
      <c r="A261" t="s">
        <v>797</v>
      </c>
      <c r="B261">
        <v>1037</v>
      </c>
      <c r="C261">
        <v>6325</v>
      </c>
      <c r="D261" t="str">
        <f>VLOOKUP(B261,[1]ManipulationPage!$A$3:$D$541,4,FALSE)</f>
        <v>jam</v>
      </c>
      <c r="E261" t="str">
        <f>IF(VLOOKUP(B261,DishNotes!$B$2:$E$573,4,FALSE)="!","!","")</f>
        <v/>
      </c>
      <c r="F261" t="s">
        <v>1136</v>
      </c>
      <c r="H261" t="s">
        <v>1137</v>
      </c>
    </row>
    <row r="262" spans="1:10" x14ac:dyDescent="0.2">
      <c r="A262" t="s">
        <v>163</v>
      </c>
      <c r="B262">
        <v>197</v>
      </c>
      <c r="C262">
        <v>2055</v>
      </c>
      <c r="D262" t="str">
        <f>VLOOKUP(B262,[1]ManipulationPage!$A$3:$D$541,4,FALSE)</f>
        <v>Mash</v>
      </c>
      <c r="E262" t="str">
        <f>IF(VLOOKUP(B262,DishNotes!$B$2:$E$573,4,FALSE)="!","!","")</f>
        <v>!</v>
      </c>
      <c r="F262" t="s">
        <v>1009</v>
      </c>
      <c r="G262" t="s">
        <v>1009</v>
      </c>
      <c r="H262" t="s">
        <v>1010</v>
      </c>
    </row>
    <row r="263" spans="1:10" x14ac:dyDescent="0.2">
      <c r="A263" t="s">
        <v>521</v>
      </c>
      <c r="B263">
        <v>102</v>
      </c>
      <c r="C263">
        <v>1486</v>
      </c>
      <c r="D263" t="str">
        <f>VLOOKUP(B263,[1]ManipulationPage!$A$3:$D$541,4,FALSE)</f>
        <v>Mash</v>
      </c>
      <c r="E263" t="str">
        <f>IF(VLOOKUP(B263,DishNotes!$B$2:$E$573,4,FALSE)="!","!","")</f>
        <v>!</v>
      </c>
      <c r="F263" t="s">
        <v>1229</v>
      </c>
      <c r="G263" t="s">
        <v>1230</v>
      </c>
      <c r="H263" t="s">
        <v>1231</v>
      </c>
      <c r="J263" t="s">
        <v>1232</v>
      </c>
    </row>
    <row r="264" spans="1:10" x14ac:dyDescent="0.2">
      <c r="A264" t="s">
        <v>524</v>
      </c>
      <c r="B264">
        <v>201</v>
      </c>
      <c r="C264">
        <v>2085</v>
      </c>
      <c r="D264" t="str">
        <f>VLOOKUP(B264,[1]ManipulationPage!$A$3:$D$541,4,FALSE)</f>
        <v>Mash</v>
      </c>
      <c r="E264" t="str">
        <f>IF(VLOOKUP(B264,DishNotes!$B$2:$E$573,4,FALSE)="!","!","")</f>
        <v>!</v>
      </c>
      <c r="F264" t="s">
        <v>1234</v>
      </c>
      <c r="G264" t="s">
        <v>1235</v>
      </c>
      <c r="H264" t="s">
        <v>1236</v>
      </c>
    </row>
    <row r="265" spans="1:10" x14ac:dyDescent="0.2">
      <c r="A265" t="s">
        <v>603</v>
      </c>
      <c r="B265">
        <v>199</v>
      </c>
      <c r="C265">
        <v>2071</v>
      </c>
      <c r="D265" t="str">
        <f>VLOOKUP(B265,[1]ManipulationPage!$A$3:$D$541,4,FALSE)</f>
        <v>Mash</v>
      </c>
      <c r="E265" t="str">
        <f>IF(VLOOKUP(B265,DishNotes!$B$2:$E$573,4,FALSE)="!","!","")</f>
        <v>!</v>
      </c>
      <c r="F265" t="s">
        <v>1308</v>
      </c>
      <c r="G265" t="s">
        <v>1308</v>
      </c>
      <c r="H265" t="s">
        <v>1308</v>
      </c>
    </row>
    <row r="266" spans="1:10" x14ac:dyDescent="0.2">
      <c r="A266" t="s">
        <v>198</v>
      </c>
      <c r="B266">
        <v>291</v>
      </c>
      <c r="C266">
        <v>2619</v>
      </c>
      <c r="D266" t="str">
        <f>VLOOKUP(B266,[1]ManipulationPage!$A$3:$D$541,4,FALSE)</f>
        <v>Mediterrenean</v>
      </c>
      <c r="E266" t="str">
        <f>IF(VLOOKUP(B266,DishNotes!$B$2:$E$573,4,FALSE)="!","!","")</f>
        <v>!</v>
      </c>
      <c r="F266" t="s">
        <v>1035</v>
      </c>
      <c r="G266" t="s">
        <v>1036</v>
      </c>
      <c r="H266" t="s">
        <v>1037</v>
      </c>
    </row>
    <row r="267" spans="1:10" x14ac:dyDescent="0.2">
      <c r="A267" t="s">
        <v>357</v>
      </c>
      <c r="B267">
        <v>289</v>
      </c>
      <c r="C267">
        <v>2607</v>
      </c>
      <c r="D267" t="str">
        <f>VLOOKUP(B267,[1]ManipulationPage!$A$3:$D$541,4,FALSE)</f>
        <v>Mediterrenean</v>
      </c>
      <c r="E267" t="str">
        <f>IF(VLOOKUP(B267,DishNotes!$B$2:$E$573,4,FALSE)="!","!","")</f>
        <v>!</v>
      </c>
      <c r="F267" t="s">
        <v>1035</v>
      </c>
      <c r="G267" t="s">
        <v>1036</v>
      </c>
      <c r="H267" t="s">
        <v>1037</v>
      </c>
    </row>
    <row r="268" spans="1:10" x14ac:dyDescent="0.2">
      <c r="A268" t="s">
        <v>545</v>
      </c>
      <c r="B268">
        <v>288</v>
      </c>
      <c r="C268">
        <v>2599</v>
      </c>
      <c r="D268" t="str">
        <f>VLOOKUP(B268,[1]ManipulationPage!$A$3:$D$541,4,FALSE)</f>
        <v>Mediterrenean</v>
      </c>
      <c r="E268" t="str">
        <f>IF(VLOOKUP(B268,DishNotes!$B$2:$E$573,4,FALSE)="!","!","")</f>
        <v>!</v>
      </c>
      <c r="F268" t="s">
        <v>1035</v>
      </c>
      <c r="G268" t="s">
        <v>1036</v>
      </c>
      <c r="H268" t="s">
        <v>1037</v>
      </c>
      <c r="J268" t="s">
        <v>1257</v>
      </c>
    </row>
    <row r="269" spans="1:10" x14ac:dyDescent="0.2">
      <c r="A269" t="s">
        <v>699</v>
      </c>
      <c r="B269">
        <v>602</v>
      </c>
      <c r="C269">
        <v>3296</v>
      </c>
      <c r="D269" t="str">
        <f>VLOOKUP(B269,[1]ManipulationPage!$A$3:$D$541,4,FALSE)</f>
        <v>Mediterrenean</v>
      </c>
      <c r="E269" t="str">
        <f>IF(VLOOKUP(B269,DishNotes!$B$2:$E$573,4,FALSE)="!","!","")</f>
        <v/>
      </c>
      <c r="F269" t="s">
        <v>1381</v>
      </c>
    </row>
    <row r="270" spans="1:10" x14ac:dyDescent="0.2">
      <c r="A270" t="s">
        <v>900</v>
      </c>
      <c r="B270">
        <v>292</v>
      </c>
      <c r="C270">
        <v>2625</v>
      </c>
      <c r="D270" t="str">
        <f>VLOOKUP(B270,[1]ManipulationPage!$A$3:$D$541,4,FALSE)</f>
        <v>Mediterrenean</v>
      </c>
      <c r="E270" t="str">
        <f>IF(VLOOKUP(B270,DishNotes!$B$2:$E$573,4,FALSE)="!","!","")</f>
        <v>!</v>
      </c>
      <c r="F270" t="s">
        <v>1035</v>
      </c>
      <c r="G270" t="s">
        <v>1036</v>
      </c>
      <c r="H270" t="s">
        <v>1037</v>
      </c>
    </row>
    <row r="271" spans="1:10" x14ac:dyDescent="0.2">
      <c r="A271" t="s">
        <v>155</v>
      </c>
      <c r="B271">
        <v>91</v>
      </c>
      <c r="C271">
        <v>1416</v>
      </c>
      <c r="D271" t="str">
        <f>VLOOKUP(B271,[1]ManipulationPage!$A$3:$D$541,4,FALSE)</f>
        <v>Mexico</v>
      </c>
      <c r="E271" t="str">
        <f>IF(VLOOKUP(B271,DishNotes!$B$2:$E$573,4,FALSE)="!","!","")</f>
        <v>!</v>
      </c>
      <c r="F271" t="s">
        <v>1000</v>
      </c>
      <c r="G271" t="s">
        <v>1001</v>
      </c>
      <c r="H271" t="s">
        <v>1002</v>
      </c>
      <c r="J271" t="s">
        <v>1003</v>
      </c>
    </row>
    <row r="272" spans="1:10" x14ac:dyDescent="0.2">
      <c r="A272" t="s">
        <v>155</v>
      </c>
      <c r="B272">
        <v>1072</v>
      </c>
      <c r="C272">
        <v>8315</v>
      </c>
      <c r="D272" t="str">
        <f>VLOOKUP(B272,[1]ManipulationPage!$A$3:$D$541,4,FALSE)</f>
        <v>Mexico</v>
      </c>
      <c r="E272" t="str">
        <f>IF(VLOOKUP(B272,DishNotes!$B$2:$E$573,4,FALSE)="!","!","")</f>
        <v>!</v>
      </c>
      <c r="F272" t="s">
        <v>1000</v>
      </c>
      <c r="G272" t="s">
        <v>1001</v>
      </c>
      <c r="H272" t="s">
        <v>1002</v>
      </c>
      <c r="J272" t="s">
        <v>1003</v>
      </c>
    </row>
    <row r="273" spans="1:10" ht="24" x14ac:dyDescent="0.3">
      <c r="A273" t="s">
        <v>227</v>
      </c>
      <c r="B273">
        <v>1071</v>
      </c>
      <c r="C273">
        <v>8219</v>
      </c>
      <c r="D273" t="str">
        <f>VLOOKUP(B273,[1]ManipulationPage!$A$3:$D$541,4,FALSE)</f>
        <v>Mexico</v>
      </c>
      <c r="E273" s="6" t="str">
        <f>IF(VLOOKUP(B273,DishNotes!$B$2:$E$573,4,FALSE)="!","!","")</f>
        <v>!</v>
      </c>
    </row>
    <row r="274" spans="1:10" x14ac:dyDescent="0.2">
      <c r="A274" t="s">
        <v>228</v>
      </c>
      <c r="B274">
        <v>137</v>
      </c>
      <c r="C274">
        <v>1710</v>
      </c>
      <c r="D274" t="str">
        <f>VLOOKUP(B274,[1]ManipulationPage!$A$3:$D$541,4,FALSE)</f>
        <v>Mexico</v>
      </c>
      <c r="E274" t="str">
        <f>IF(VLOOKUP(B274,DishNotes!$B$2:$E$573,4,FALSE)="!","!","")</f>
        <v>!</v>
      </c>
      <c r="F274" t="s">
        <v>1057</v>
      </c>
      <c r="G274" t="s">
        <v>1058</v>
      </c>
      <c r="H274" t="s">
        <v>1059</v>
      </c>
    </row>
    <row r="275" spans="1:10" x14ac:dyDescent="0.2">
      <c r="A275" t="s">
        <v>278</v>
      </c>
      <c r="B275">
        <v>104</v>
      </c>
      <c r="C275">
        <v>1502</v>
      </c>
      <c r="D275" t="str">
        <f>VLOOKUP(B275,[1]ManipulationPage!$A$3:$D$541,4,FALSE)</f>
        <v>Mexico</v>
      </c>
      <c r="E275" t="str">
        <f>IF(VLOOKUP(B275,DishNotes!$B$2:$E$573,4,FALSE)="!","!","")</f>
        <v>!</v>
      </c>
      <c r="F275" t="s">
        <v>1087</v>
      </c>
      <c r="G275" t="s">
        <v>1088</v>
      </c>
      <c r="H275" t="s">
        <v>1089</v>
      </c>
    </row>
    <row r="276" spans="1:10" x14ac:dyDescent="0.2">
      <c r="A276" t="s">
        <v>442</v>
      </c>
      <c r="B276">
        <v>40</v>
      </c>
      <c r="C276">
        <v>1196</v>
      </c>
      <c r="D276" t="str">
        <f>VLOOKUP(B276,[1]ManipulationPage!$A$3:$D$541,4,FALSE)</f>
        <v>Mexico</v>
      </c>
      <c r="E276" t="str">
        <f>IF(VLOOKUP(B276,DishNotes!$B$2:$E$573,4,FALSE)="!","!","")</f>
        <v>!</v>
      </c>
      <c r="F276" t="s">
        <v>1171</v>
      </c>
      <c r="G276" t="s">
        <v>1172</v>
      </c>
      <c r="H276" t="s">
        <v>1173</v>
      </c>
    </row>
    <row r="277" spans="1:10" x14ac:dyDescent="0.2">
      <c r="A277" t="s">
        <v>442</v>
      </c>
      <c r="B277">
        <v>788</v>
      </c>
      <c r="C277">
        <v>3746</v>
      </c>
      <c r="D277" t="str">
        <f>VLOOKUP(B277,[1]ManipulationPage!$A$3:$D$541,4,FALSE)</f>
        <v>Mexico</v>
      </c>
      <c r="E277" t="str">
        <f>IF(VLOOKUP(B277,DishNotes!$B$2:$E$573,4,FALSE)="!","!","")</f>
        <v>!</v>
      </c>
      <c r="F277" t="s">
        <v>1174</v>
      </c>
    </row>
    <row r="278" spans="1:10" x14ac:dyDescent="0.2">
      <c r="A278" t="s">
        <v>452</v>
      </c>
      <c r="B278">
        <v>693</v>
      </c>
      <c r="C278">
        <v>3553</v>
      </c>
      <c r="D278" t="str">
        <f>VLOOKUP(B278,[1]ManipulationPage!$A$3:$D$541,4,FALSE)</f>
        <v>Mexico</v>
      </c>
      <c r="E278" t="str">
        <f>IF(VLOOKUP(B278,DishNotes!$B$2:$E$573,4,FALSE)="!","!","")</f>
        <v/>
      </c>
      <c r="F278" t="s">
        <v>453</v>
      </c>
    </row>
    <row r="279" spans="1:10" x14ac:dyDescent="0.2">
      <c r="A279" t="s">
        <v>504</v>
      </c>
      <c r="B279">
        <v>251</v>
      </c>
      <c r="C279">
        <v>2373</v>
      </c>
      <c r="D279" t="str">
        <f>VLOOKUP(B279,[1]ManipulationPage!$A$3:$D$541,4,FALSE)</f>
        <v>Mexico</v>
      </c>
      <c r="E279" t="str">
        <f>IF(VLOOKUP(B279,DishNotes!$B$2:$E$573,4,FALSE)="!","!","")</f>
        <v>!</v>
      </c>
      <c r="F279" t="s">
        <v>1000</v>
      </c>
      <c r="G279" t="s">
        <v>1001</v>
      </c>
      <c r="H279" t="s">
        <v>1002</v>
      </c>
    </row>
    <row r="280" spans="1:10" x14ac:dyDescent="0.2">
      <c r="A280" t="s">
        <v>531</v>
      </c>
      <c r="B280">
        <v>960</v>
      </c>
      <c r="C280">
        <v>4906</v>
      </c>
      <c r="D280" t="str">
        <f>VLOOKUP(B280,[1]ManipulationPage!$A$3:$D$541,4,FALSE)</f>
        <v>Mexico</v>
      </c>
      <c r="E280" t="str">
        <f>IF(VLOOKUP(B280,DishNotes!$B$2:$E$573,4,FALSE)="!","!","")</f>
        <v>!</v>
      </c>
      <c r="F280" t="s">
        <v>1240</v>
      </c>
      <c r="G280" t="s">
        <v>1241</v>
      </c>
      <c r="H280" t="s">
        <v>1242</v>
      </c>
      <c r="I280" t="s">
        <v>1243</v>
      </c>
      <c r="J280" t="s">
        <v>1244</v>
      </c>
    </row>
    <row r="281" spans="1:10" ht="24" x14ac:dyDescent="0.3">
      <c r="A281" t="s">
        <v>531</v>
      </c>
      <c r="B281">
        <v>932</v>
      </c>
      <c r="D281" t="str">
        <f>VLOOKUP(B281,[1]ManipulationPage!$A$3:$D$541,4,FALSE)</f>
        <v>Mexico</v>
      </c>
      <c r="E281" s="6" t="str">
        <f>IF(VLOOKUP(B281,DishNotes!$B$2:$E$573,4,FALSE)="!","!","")</f>
        <v>!</v>
      </c>
    </row>
    <row r="282" spans="1:10" x14ac:dyDescent="0.2">
      <c r="A282" t="s">
        <v>532</v>
      </c>
      <c r="B282">
        <v>7</v>
      </c>
      <c r="C282">
        <v>990</v>
      </c>
      <c r="D282" t="str">
        <f>VLOOKUP(B282,[1]ManipulationPage!$A$3:$D$541,4,FALSE)</f>
        <v>Mexico</v>
      </c>
      <c r="E282" t="str">
        <f>IF(VLOOKUP(B282,DishNotes!$B$2:$E$573,4,FALSE)="!","!","")</f>
        <v>!</v>
      </c>
      <c r="F282" t="s">
        <v>1245</v>
      </c>
      <c r="G282" t="s">
        <v>1246</v>
      </c>
      <c r="H282" t="s">
        <v>1247</v>
      </c>
    </row>
    <row r="283" spans="1:10" x14ac:dyDescent="0.2">
      <c r="A283" t="s">
        <v>534</v>
      </c>
      <c r="B283">
        <v>995</v>
      </c>
      <c r="C283">
        <v>5533</v>
      </c>
      <c r="D283" t="str">
        <f>VLOOKUP(B283,[1]ManipulationPage!$A$3:$D$541,4,FALSE)</f>
        <v>Mexico</v>
      </c>
      <c r="E283" t="str">
        <f>IF(VLOOKUP(B283,DishNotes!$B$2:$E$573,4,FALSE)="!","!","")</f>
        <v>!</v>
      </c>
      <c r="F283" t="s">
        <v>1248</v>
      </c>
      <c r="G283" t="s">
        <v>1249</v>
      </c>
      <c r="H283" t="s">
        <v>1250</v>
      </c>
      <c r="I283" t="s">
        <v>1251</v>
      </c>
      <c r="J283" t="s">
        <v>1252</v>
      </c>
    </row>
    <row r="284" spans="1:10" x14ac:dyDescent="0.2">
      <c r="A284" t="s">
        <v>562</v>
      </c>
      <c r="B284">
        <v>286</v>
      </c>
      <c r="C284">
        <v>2585</v>
      </c>
      <c r="D284" t="str">
        <f>VLOOKUP(B284,[1]ManipulationPage!$A$3:$D$541,4,FALSE)</f>
        <v>Mexico</v>
      </c>
      <c r="E284" t="str">
        <f>IF(VLOOKUP(B284,DishNotes!$B$2:$E$573,4,FALSE)="!","!","")</f>
        <v/>
      </c>
      <c r="F284" t="s">
        <v>1072</v>
      </c>
      <c r="G284" t="s">
        <v>1073</v>
      </c>
      <c r="H284" t="s">
        <v>1074</v>
      </c>
    </row>
    <row r="285" spans="1:10" x14ac:dyDescent="0.2">
      <c r="A285" t="s">
        <v>857</v>
      </c>
      <c r="B285">
        <v>14</v>
      </c>
      <c r="C285">
        <v>1038</v>
      </c>
      <c r="D285" t="str">
        <f>VLOOKUP(B285,[1]ManipulationPage!$A$3:$D$541,4,FALSE)</f>
        <v>Mexico</v>
      </c>
      <c r="E285" t="str">
        <f>IF(VLOOKUP(B285,DishNotes!$B$2:$E$573,4,FALSE)="!","!","")</f>
        <v>!</v>
      </c>
      <c r="F285" t="s">
        <v>1477</v>
      </c>
      <c r="G285" t="s">
        <v>1478</v>
      </c>
      <c r="H285" t="s">
        <v>1479</v>
      </c>
    </row>
    <row r="286" spans="1:10" x14ac:dyDescent="0.2">
      <c r="A286" t="s">
        <v>41</v>
      </c>
      <c r="B286">
        <v>21</v>
      </c>
      <c r="C286">
        <v>1088</v>
      </c>
      <c r="D286" t="str">
        <f>VLOOKUP(B286,[1]ManipulationPage!$A$3:$D$541,4,FALSE)</f>
        <v>Middle East</v>
      </c>
      <c r="E286" t="str">
        <f>IF(VLOOKUP(B286,DishNotes!$B$2:$E$573,4,FALSE)="!","!","")</f>
        <v/>
      </c>
      <c r="F286" t="s">
        <v>925</v>
      </c>
      <c r="G286" t="s">
        <v>926</v>
      </c>
      <c r="H286" t="s">
        <v>927</v>
      </c>
    </row>
    <row r="287" spans="1:10" x14ac:dyDescent="0.2">
      <c r="A287" t="s">
        <v>151</v>
      </c>
      <c r="B287">
        <v>284</v>
      </c>
      <c r="C287">
        <v>2573</v>
      </c>
      <c r="D287" t="str">
        <f>VLOOKUP(B287,[1]ManipulationPage!$A$3:$D$541,4,FALSE)</f>
        <v>Middle East</v>
      </c>
      <c r="E287" t="str">
        <f>IF(VLOOKUP(B287,DishNotes!$B$2:$E$573,4,FALSE)="!","!","")</f>
        <v>!</v>
      </c>
      <c r="F287" t="s">
        <v>997</v>
      </c>
      <c r="G287" t="s">
        <v>998</v>
      </c>
      <c r="H287" t="s">
        <v>999</v>
      </c>
    </row>
    <row r="288" spans="1:10" ht="24" x14ac:dyDescent="0.3">
      <c r="A288" t="s">
        <v>304</v>
      </c>
      <c r="B288">
        <v>993</v>
      </c>
      <c r="C288">
        <v>5505</v>
      </c>
      <c r="D288" t="str">
        <f>VLOOKUP(B288,[1]ManipulationPage!$A$3:$D$541,4,FALSE)</f>
        <v>Middle East</v>
      </c>
      <c r="E288" s="6" t="str">
        <f>IF(VLOOKUP(B288,DishNotes!$B$2:$E$573,4,FALSE)="!","!","")</f>
        <v>!</v>
      </c>
    </row>
    <row r="289" spans="1:10" x14ac:dyDescent="0.2">
      <c r="A289" t="s">
        <v>367</v>
      </c>
      <c r="B289">
        <v>64</v>
      </c>
      <c r="C289">
        <v>1312</v>
      </c>
      <c r="D289" t="str">
        <f>VLOOKUP(B289,[1]ManipulationPage!$A$3:$D$541,4,FALSE)</f>
        <v>Middle East</v>
      </c>
      <c r="E289" t="str">
        <f>IF(VLOOKUP(B289,DishNotes!$B$2:$E$573,4,FALSE)="!","!","")</f>
        <v/>
      </c>
      <c r="F289" t="s">
        <v>1140</v>
      </c>
      <c r="G289" t="s">
        <v>1141</v>
      </c>
      <c r="H289" t="s">
        <v>1142</v>
      </c>
    </row>
    <row r="290" spans="1:10" x14ac:dyDescent="0.2">
      <c r="A290" t="s">
        <v>455</v>
      </c>
      <c r="B290">
        <v>20</v>
      </c>
      <c r="C290">
        <v>1084</v>
      </c>
      <c r="D290" t="str">
        <f>VLOOKUP(B290,[1]ManipulationPage!$A$3:$D$541,4,FALSE)</f>
        <v>Middle East</v>
      </c>
      <c r="E290" t="str">
        <f>IF(VLOOKUP(B290,DishNotes!$B$2:$E$573,4,FALSE)="!","!","")</f>
        <v/>
      </c>
      <c r="F290" t="s">
        <v>1183</v>
      </c>
      <c r="G290" t="s">
        <v>1184</v>
      </c>
      <c r="H290" t="s">
        <v>1185</v>
      </c>
    </row>
    <row r="291" spans="1:10" x14ac:dyDescent="0.2">
      <c r="A291" t="s">
        <v>717</v>
      </c>
      <c r="B291">
        <v>142</v>
      </c>
      <c r="C291">
        <v>1748</v>
      </c>
      <c r="D291" t="str">
        <f>VLOOKUP(B291,[1]ManipulationPage!$A$3:$D$541,4,FALSE)</f>
        <v>Middle East</v>
      </c>
      <c r="E291" t="str">
        <f>IF(VLOOKUP(B291,DishNotes!$B$2:$E$573,4,FALSE)="!","!","")</f>
        <v/>
      </c>
      <c r="F291" t="s">
        <v>1389</v>
      </c>
      <c r="G291" t="s">
        <v>1390</v>
      </c>
      <c r="H291" t="s">
        <v>1389</v>
      </c>
    </row>
    <row r="292" spans="1:10" x14ac:dyDescent="0.2">
      <c r="A292" t="s">
        <v>781</v>
      </c>
      <c r="B292">
        <v>254</v>
      </c>
      <c r="C292">
        <v>2395</v>
      </c>
      <c r="D292" t="str">
        <f>VLOOKUP(B292,[1]ManipulationPage!$A$3:$D$541,4,FALSE)</f>
        <v>Middle East</v>
      </c>
      <c r="E292" t="str">
        <f>IF(VLOOKUP(B292,DishNotes!$B$2:$E$573,4,FALSE)="!","!","")</f>
        <v/>
      </c>
      <c r="F292" t="s">
        <v>1433</v>
      </c>
      <c r="G292" t="s">
        <v>1433</v>
      </c>
      <c r="H292" t="s">
        <v>1433</v>
      </c>
    </row>
    <row r="293" spans="1:10" x14ac:dyDescent="0.2">
      <c r="A293" t="s">
        <v>811</v>
      </c>
      <c r="B293">
        <v>1001</v>
      </c>
      <c r="C293">
        <v>5633</v>
      </c>
      <c r="D293" t="str">
        <f>VLOOKUP(B293,[1]ManipulationPage!$A$3:$D$541,4,FALSE)</f>
        <v>Middle East</v>
      </c>
      <c r="E293" t="str">
        <f>IF(VLOOKUP(B293,DishNotes!$B$2:$E$573,4,FALSE)="!","!","")</f>
        <v/>
      </c>
      <c r="F293" t="s">
        <v>1456</v>
      </c>
      <c r="G293" t="s">
        <v>1457</v>
      </c>
      <c r="H293" t="s">
        <v>1458</v>
      </c>
      <c r="I293" t="s">
        <v>1459</v>
      </c>
      <c r="J293" t="s">
        <v>1460</v>
      </c>
    </row>
    <row r="294" spans="1:10" x14ac:dyDescent="0.2">
      <c r="A294" t="s">
        <v>818</v>
      </c>
      <c r="B294">
        <v>16</v>
      </c>
      <c r="C294">
        <v>1052</v>
      </c>
      <c r="D294" t="str">
        <f>VLOOKUP(B294,[1]ManipulationPage!$A$3:$D$541,4,FALSE)</f>
        <v>Middle East</v>
      </c>
      <c r="E294" t="str">
        <f>IF(VLOOKUP(B294,DishNotes!$B$2:$E$573,4,FALSE)="!","!","")</f>
        <v>!</v>
      </c>
      <c r="F294" t="s">
        <v>1461</v>
      </c>
      <c r="G294" t="s">
        <v>1462</v>
      </c>
      <c r="H294" t="s">
        <v>1463</v>
      </c>
    </row>
    <row r="295" spans="1:10" x14ac:dyDescent="0.2">
      <c r="A295" t="s">
        <v>119</v>
      </c>
      <c r="B295">
        <v>57</v>
      </c>
      <c r="C295">
        <v>1264</v>
      </c>
      <c r="D295" t="str">
        <f>VLOOKUP(B295,[1]ManipulationPage!$A$3:$D$541,4,FALSE)</f>
        <v>Northern Europe</v>
      </c>
      <c r="E295" t="str">
        <f>IF(VLOOKUP(B295,DishNotes!$B$2:$E$573,4,FALSE)="!","!","")</f>
        <v>!</v>
      </c>
      <c r="F295" t="s">
        <v>977</v>
      </c>
      <c r="G295" t="s">
        <v>978</v>
      </c>
      <c r="H295" t="s">
        <v>979</v>
      </c>
    </row>
    <row r="296" spans="1:10" ht="24" x14ac:dyDescent="0.3">
      <c r="A296" t="s">
        <v>352</v>
      </c>
      <c r="B296">
        <v>1060</v>
      </c>
      <c r="C296">
        <v>7810</v>
      </c>
      <c r="D296" t="str">
        <f>VLOOKUP(B296,[1]ManipulationPage!$A$3:$D$541,4,FALSE)</f>
        <v>Northern Europe</v>
      </c>
      <c r="E296" s="6" t="str">
        <f>IF(VLOOKUP(B296,DishNotes!$B$2:$E$573,4,FALSE)="!","!","")</f>
        <v>!</v>
      </c>
    </row>
    <row r="297" spans="1:10" x14ac:dyDescent="0.2">
      <c r="A297" t="s">
        <v>381</v>
      </c>
      <c r="B297">
        <v>594</v>
      </c>
      <c r="C297">
        <v>3280</v>
      </c>
      <c r="D297" t="str">
        <f>VLOOKUP(B297,[1]ManipulationPage!$A$3:$D$541,4,FALSE)</f>
        <v>Northern Europe</v>
      </c>
      <c r="E297" t="str">
        <f>IF(VLOOKUP(B297,DishNotes!$B$2:$E$573,4,FALSE)="!","!","")</f>
        <v/>
      </c>
      <c r="F297" t="s">
        <v>1147</v>
      </c>
    </row>
    <row r="298" spans="1:10" x14ac:dyDescent="0.2">
      <c r="A298" t="s">
        <v>382</v>
      </c>
      <c r="B298">
        <v>780</v>
      </c>
      <c r="C298">
        <v>3731</v>
      </c>
      <c r="D298" t="str">
        <f>VLOOKUP(B298,[1]ManipulationPage!$A$3:$D$541,4,FALSE)</f>
        <v>Northern Europe</v>
      </c>
      <c r="E298" t="str">
        <f>IF(VLOOKUP(B298,DishNotes!$B$2:$E$573,4,FALSE)="!","!","")</f>
        <v/>
      </c>
      <c r="F298" t="s">
        <v>1147</v>
      </c>
    </row>
    <row r="299" spans="1:10" x14ac:dyDescent="0.2">
      <c r="A299" t="s">
        <v>415</v>
      </c>
      <c r="B299">
        <v>4</v>
      </c>
      <c r="C299">
        <v>984</v>
      </c>
      <c r="D299" t="str">
        <f>VLOOKUP(B299,[1]ManipulationPage!$A$3:$D$541,4,FALSE)</f>
        <v>Northern Europe</v>
      </c>
      <c r="E299" t="str">
        <f>IF(VLOOKUP(B299,DishNotes!$B$2:$E$573,4,FALSE)="!","!","")</f>
        <v>!</v>
      </c>
      <c r="F299" t="s">
        <v>1163</v>
      </c>
      <c r="G299" t="s">
        <v>1164</v>
      </c>
      <c r="H299" t="s">
        <v>1165</v>
      </c>
    </row>
    <row r="300" spans="1:10" x14ac:dyDescent="0.2">
      <c r="A300" t="s">
        <v>523</v>
      </c>
      <c r="B300">
        <v>928</v>
      </c>
      <c r="C300">
        <v>4110</v>
      </c>
      <c r="D300" t="str">
        <f>VLOOKUP(B300,[1]ManipulationPage!$A$3:$D$541,4,FALSE)</f>
        <v>Northern Europe</v>
      </c>
      <c r="E300" t="str">
        <f>IF(VLOOKUP(B300,DishNotes!$B$2:$E$573,4,FALSE)="!","!","")</f>
        <v>!</v>
      </c>
      <c r="F300" t="s">
        <v>1233</v>
      </c>
    </row>
    <row r="301" spans="1:10" x14ac:dyDescent="0.2">
      <c r="A301" t="s">
        <v>576</v>
      </c>
      <c r="B301">
        <v>148</v>
      </c>
      <c r="C301">
        <v>1796</v>
      </c>
      <c r="D301" t="str">
        <f>VLOOKUP(B301,[1]ManipulationPage!$A$3:$D$541,4,FALSE)</f>
        <v>Omelette</v>
      </c>
      <c r="E301" t="str">
        <f>IF(VLOOKUP(B301,DishNotes!$B$2:$E$573,4,FALSE)="!","!","")</f>
        <v>!</v>
      </c>
      <c r="F301" t="s">
        <v>1237</v>
      </c>
      <c r="G301" t="s">
        <v>1238</v>
      </c>
      <c r="H301" t="s">
        <v>1239</v>
      </c>
      <c r="J301" t="s">
        <v>1278</v>
      </c>
    </row>
    <row r="302" spans="1:10" x14ac:dyDescent="0.2">
      <c r="A302" t="s">
        <v>274</v>
      </c>
      <c r="B302">
        <v>37</v>
      </c>
      <c r="C302">
        <v>1172</v>
      </c>
      <c r="D302" t="str">
        <f>VLOOKUP(B302,[1]ManipulationPage!$A$3:$D$541,4,FALSE)</f>
        <v>Oven</v>
      </c>
      <c r="E302" t="str">
        <f>IF(VLOOKUP(B302,DishNotes!$B$2:$E$573,4,FALSE)="!","!","")</f>
        <v>!</v>
      </c>
      <c r="F302" t="s">
        <v>1014</v>
      </c>
      <c r="G302" t="s">
        <v>1015</v>
      </c>
      <c r="H302" t="s">
        <v>1016</v>
      </c>
    </row>
    <row r="303" spans="1:10" x14ac:dyDescent="0.2">
      <c r="A303" t="s">
        <v>586</v>
      </c>
      <c r="B303">
        <v>24</v>
      </c>
      <c r="C303">
        <v>1104</v>
      </c>
      <c r="D303" t="str">
        <f>VLOOKUP(B303,[1]ManipulationPage!$A$3:$D$541,4,FALSE)</f>
        <v>Oven</v>
      </c>
      <c r="E303" t="str">
        <f>IF(VLOOKUP(B303,DishNotes!$B$2:$E$573,4,FALSE)="!","!","")</f>
        <v>!</v>
      </c>
      <c r="F303" t="s">
        <v>1283</v>
      </c>
      <c r="G303" t="s">
        <v>1284</v>
      </c>
      <c r="H303" t="s">
        <v>1285</v>
      </c>
      <c r="J303" t="s">
        <v>1286</v>
      </c>
    </row>
    <row r="304" spans="1:10" x14ac:dyDescent="0.2">
      <c r="A304" t="s">
        <v>651</v>
      </c>
      <c r="B304">
        <v>89</v>
      </c>
      <c r="C304">
        <v>1408</v>
      </c>
      <c r="D304" t="str">
        <f>VLOOKUP(B304,[1]ManipulationPage!$A$3:$D$541,4,FALSE)</f>
        <v>Oven</v>
      </c>
      <c r="E304" t="str">
        <f>IF(VLOOKUP(B304,DishNotes!$B$2:$E$573,4,FALSE)="!","!","")</f>
        <v>!</v>
      </c>
      <c r="F304" t="s">
        <v>1014</v>
      </c>
      <c r="G304" t="s">
        <v>1015</v>
      </c>
      <c r="H304" t="s">
        <v>1016</v>
      </c>
      <c r="I304" t="s">
        <v>1017</v>
      </c>
      <c r="J304" t="s">
        <v>1018</v>
      </c>
    </row>
    <row r="305" spans="1:10" x14ac:dyDescent="0.2">
      <c r="A305" t="s">
        <v>686</v>
      </c>
      <c r="B305">
        <v>23</v>
      </c>
      <c r="C305">
        <v>1098</v>
      </c>
      <c r="D305" t="str">
        <f>VLOOKUP(B305,[1]ManipulationPage!$A$3:$D$541,4,FALSE)</f>
        <v>Oven</v>
      </c>
      <c r="E305" t="str">
        <f>IF(VLOOKUP(B305,DishNotes!$B$2:$E$573,4,FALSE)="!","!","")</f>
        <v>!</v>
      </c>
      <c r="F305" t="s">
        <v>1369</v>
      </c>
      <c r="G305" t="s">
        <v>1370</v>
      </c>
      <c r="H305" t="s">
        <v>1371</v>
      </c>
    </row>
    <row r="306" spans="1:10" x14ac:dyDescent="0.2">
      <c r="A306" t="s">
        <v>806</v>
      </c>
      <c r="B306">
        <v>63</v>
      </c>
      <c r="C306">
        <v>1302</v>
      </c>
      <c r="D306" t="str">
        <f>VLOOKUP(B306,[1]ManipulationPage!$A$3:$D$541,4,FALSE)</f>
        <v>Oven</v>
      </c>
      <c r="E306" t="str">
        <f>IF(VLOOKUP(B306,DishNotes!$B$2:$E$573,4,FALSE)="!","!","")</f>
        <v/>
      </c>
      <c r="F306" t="s">
        <v>1453</v>
      </c>
      <c r="G306" t="s">
        <v>1454</v>
      </c>
      <c r="H306" t="s">
        <v>1455</v>
      </c>
    </row>
    <row r="307" spans="1:10" x14ac:dyDescent="0.2">
      <c r="A307" t="s">
        <v>26</v>
      </c>
      <c r="B307">
        <v>1081</v>
      </c>
      <c r="C307">
        <v>8840</v>
      </c>
      <c r="D307" t="str">
        <f>VLOOKUP(B307,[1]ManipulationPage!$A$3:$D$541,4,FALSE)</f>
        <v>Pasta</v>
      </c>
      <c r="E307" t="str">
        <f>IF(VLOOKUP(B307,DishNotes!$B$2:$E$573,4,FALSE)="!","!","")</f>
        <v>!</v>
      </c>
      <c r="F307" t="s">
        <v>913</v>
      </c>
      <c r="G307" t="s">
        <v>914</v>
      </c>
      <c r="H307" t="s">
        <v>915</v>
      </c>
      <c r="I307" t="s">
        <v>916</v>
      </c>
      <c r="J307" t="s">
        <v>917</v>
      </c>
    </row>
    <row r="308" spans="1:10" x14ac:dyDescent="0.2">
      <c r="A308" t="s">
        <v>46</v>
      </c>
      <c r="B308">
        <v>283</v>
      </c>
      <c r="C308">
        <v>2567</v>
      </c>
      <c r="D308" t="str">
        <f>VLOOKUP(B308,[1]ManipulationPage!$A$3:$D$541,4,FALSE)</f>
        <v>Pasta</v>
      </c>
      <c r="E308" t="str">
        <f>IF(VLOOKUP(B308,DishNotes!$B$2:$E$573,4,FALSE)="!","!","")</f>
        <v>!</v>
      </c>
      <c r="F308" t="s">
        <v>928</v>
      </c>
      <c r="G308" t="s">
        <v>929</v>
      </c>
      <c r="H308" t="s">
        <v>930</v>
      </c>
    </row>
    <row r="309" spans="1:10" ht="24" x14ac:dyDescent="0.3">
      <c r="A309" t="s">
        <v>183</v>
      </c>
      <c r="B309">
        <v>919</v>
      </c>
      <c r="D309" t="str">
        <f>VLOOKUP(B309,[1]ManipulationPage!$A$3:$D$541,4,FALSE)</f>
        <v>Pasta</v>
      </c>
      <c r="E309" s="6" t="str">
        <f>IF(VLOOKUP(B309,DishNotes!$B$2:$E$573,4,FALSE)="!","!","")</f>
        <v>!</v>
      </c>
    </row>
    <row r="310" spans="1:10" ht="24" x14ac:dyDescent="0.3">
      <c r="A310" t="s">
        <v>232</v>
      </c>
      <c r="B310">
        <v>920</v>
      </c>
      <c r="D310" t="str">
        <f>VLOOKUP(B310,[1]ManipulationPage!$A$3:$D$541,4,FALSE)</f>
        <v>Pasta</v>
      </c>
      <c r="E310" s="6" t="str">
        <f>IF(VLOOKUP(B310,DishNotes!$B$2:$E$573,4,FALSE)="!","!","")</f>
        <v>!</v>
      </c>
    </row>
    <row r="311" spans="1:10" x14ac:dyDescent="0.2">
      <c r="A311" t="s">
        <v>315</v>
      </c>
      <c r="B311">
        <v>957</v>
      </c>
      <c r="C311">
        <v>4859</v>
      </c>
      <c r="D311" t="str">
        <f>VLOOKUP(B311,[1]ManipulationPage!$A$3:$D$541,4,FALSE)</f>
        <v>Pasta</v>
      </c>
      <c r="E311" t="str">
        <f>IF(VLOOKUP(B311,DishNotes!$B$2:$E$573,4,FALSE)="!","!","")</f>
        <v>!</v>
      </c>
      <c r="F311" t="s">
        <v>1108</v>
      </c>
      <c r="G311" t="s">
        <v>1109</v>
      </c>
      <c r="H311" t="s">
        <v>1110</v>
      </c>
      <c r="I311" t="s">
        <v>1111</v>
      </c>
      <c r="J311" t="s">
        <v>1112</v>
      </c>
    </row>
    <row r="312" spans="1:10" x14ac:dyDescent="0.2">
      <c r="A312" t="s">
        <v>322</v>
      </c>
      <c r="B312">
        <v>958</v>
      </c>
      <c r="C312">
        <v>4880</v>
      </c>
      <c r="D312" t="str">
        <f>VLOOKUP(B312,[1]ManipulationPage!$A$3:$D$541,4,FALSE)</f>
        <v>Pasta</v>
      </c>
      <c r="E312" t="str">
        <f>IF(VLOOKUP(B312,DishNotes!$B$2:$E$573,4,FALSE)="!","!","")</f>
        <v>!</v>
      </c>
      <c r="F312" t="s">
        <v>1113</v>
      </c>
      <c r="G312" t="s">
        <v>1114</v>
      </c>
      <c r="H312" t="s">
        <v>1115</v>
      </c>
      <c r="I312" t="s">
        <v>1116</v>
      </c>
      <c r="J312" t="s">
        <v>1112</v>
      </c>
    </row>
    <row r="313" spans="1:10" x14ac:dyDescent="0.2">
      <c r="A313" t="s">
        <v>322</v>
      </c>
      <c r="B313">
        <v>1084</v>
      </c>
      <c r="C313">
        <v>8875</v>
      </c>
      <c r="D313" t="str">
        <f>VLOOKUP(B313,[1]ManipulationPage!$A$3:$D$541,4,FALSE)</f>
        <v>Pasta</v>
      </c>
      <c r="E313" t="str">
        <f>IF(VLOOKUP(B313,DishNotes!$B$2:$E$573,4,FALSE)="!","!","")</f>
        <v>!</v>
      </c>
      <c r="F313" t="s">
        <v>1113</v>
      </c>
      <c r="G313" t="s">
        <v>1114</v>
      </c>
      <c r="H313" t="s">
        <v>1115</v>
      </c>
      <c r="I313" t="s">
        <v>1116</v>
      </c>
      <c r="J313" t="s">
        <v>1112</v>
      </c>
    </row>
    <row r="314" spans="1:10" x14ac:dyDescent="0.2">
      <c r="A314" t="s">
        <v>329</v>
      </c>
      <c r="B314">
        <v>324</v>
      </c>
      <c r="C314">
        <v>2733</v>
      </c>
      <c r="D314" t="str">
        <f>VLOOKUP(B314,[1]ManipulationPage!$A$3:$D$541,4,FALSE)</f>
        <v>Pasta</v>
      </c>
      <c r="E314" t="str">
        <f>IF(VLOOKUP(B314,DishNotes!$B$2:$E$573,4,FALSE)="!","!","")</f>
        <v>!</v>
      </c>
      <c r="F314" t="s">
        <v>1117</v>
      </c>
      <c r="G314" t="s">
        <v>1117</v>
      </c>
      <c r="H314" t="s">
        <v>1118</v>
      </c>
    </row>
    <row r="315" spans="1:10" x14ac:dyDescent="0.2">
      <c r="A315" t="s">
        <v>358</v>
      </c>
      <c r="B315">
        <v>959</v>
      </c>
      <c r="C315">
        <v>4895</v>
      </c>
      <c r="D315" t="str">
        <f>VLOOKUP(B315,[1]ManipulationPage!$A$3:$D$541,4,FALSE)</f>
        <v>Pasta</v>
      </c>
      <c r="E315" t="str">
        <f>IF(VLOOKUP(B315,DishNotes!$B$2:$E$573,4,FALSE)="!","!","")</f>
        <v>!</v>
      </c>
      <c r="F315" t="s">
        <v>1130</v>
      </c>
      <c r="G315" t="s">
        <v>1131</v>
      </c>
      <c r="H315" t="s">
        <v>1132</v>
      </c>
      <c r="I315" t="s">
        <v>1133</v>
      </c>
      <c r="J315" t="s">
        <v>1134</v>
      </c>
    </row>
    <row r="316" spans="1:10" ht="24" x14ac:dyDescent="0.3">
      <c r="A316" t="s">
        <v>371</v>
      </c>
      <c r="B316">
        <v>901</v>
      </c>
      <c r="D316" t="str">
        <f>VLOOKUP(B316,[1]ManipulationPage!$A$3:$D$541,4,FALSE)</f>
        <v>Pasta</v>
      </c>
      <c r="E316" s="6" t="str">
        <f>IF(VLOOKUP(B316,DishNotes!$B$2:$E$573,4,FALSE)="!","!","")</f>
        <v>!</v>
      </c>
    </row>
    <row r="317" spans="1:10" ht="24" x14ac:dyDescent="0.3">
      <c r="A317" t="s">
        <v>373</v>
      </c>
      <c r="B317">
        <v>945</v>
      </c>
      <c r="D317" t="str">
        <f>VLOOKUP(B317,[1]ManipulationPage!$A$3:$D$541,4,FALSE)</f>
        <v>Pasta</v>
      </c>
      <c r="E317" s="6" t="str">
        <f>IF(VLOOKUP(B317,DishNotes!$B$2:$E$573,4,FALSE)="!","!","")</f>
        <v>!</v>
      </c>
    </row>
    <row r="318" spans="1:10" ht="24" x14ac:dyDescent="0.3">
      <c r="A318" t="s">
        <v>379</v>
      </c>
      <c r="B318">
        <v>921</v>
      </c>
      <c r="D318" t="str">
        <f>VLOOKUP(B318,[1]ManipulationPage!$A$3:$D$541,4,FALSE)</f>
        <v>Pasta</v>
      </c>
      <c r="E318" s="6" t="str">
        <f>IF(VLOOKUP(B318,DishNotes!$B$2:$E$573,4,FALSE)="!","!","")</f>
        <v>!</v>
      </c>
    </row>
    <row r="319" spans="1:10" x14ac:dyDescent="0.2">
      <c r="A319" t="s">
        <v>448</v>
      </c>
      <c r="B319">
        <v>601</v>
      </c>
      <c r="C319">
        <v>3295</v>
      </c>
      <c r="D319" t="str">
        <f>VLOOKUP(B319,[1]ManipulationPage!$A$3:$D$541,4,FALSE)</f>
        <v>Pasta</v>
      </c>
      <c r="E319" t="str">
        <f>IF(VLOOKUP(B319,DishNotes!$B$2:$E$573,4,FALSE)="!","!","")</f>
        <v>!</v>
      </c>
      <c r="F319" t="s">
        <v>1178</v>
      </c>
    </row>
    <row r="320" spans="1:10" ht="24" x14ac:dyDescent="0.3">
      <c r="A320" t="s">
        <v>494</v>
      </c>
      <c r="B320">
        <v>846</v>
      </c>
      <c r="D320" t="str">
        <f>VLOOKUP(B320,[1]ManipulationPage!$A$3:$D$541,4,FALSE)</f>
        <v>Pasta</v>
      </c>
      <c r="E320" s="6" t="str">
        <f>IF(VLOOKUP(B320,DishNotes!$B$2:$E$573,4,FALSE)="!","!","")</f>
        <v>!</v>
      </c>
    </row>
    <row r="321" spans="1:10" ht="24" x14ac:dyDescent="0.3">
      <c r="A321" t="s">
        <v>538</v>
      </c>
      <c r="B321">
        <v>935</v>
      </c>
      <c r="D321" t="str">
        <f>VLOOKUP(B321,[1]ManipulationPage!$A$3:$D$541,4,FALSE)</f>
        <v>Pasta</v>
      </c>
      <c r="E321" s="6" t="str">
        <f>IF(VLOOKUP(B321,DishNotes!$B$2:$E$573,4,FALSE)="!","!","")</f>
        <v>!</v>
      </c>
    </row>
    <row r="322" spans="1:10" ht="24" x14ac:dyDescent="0.3">
      <c r="A322" t="s">
        <v>570</v>
      </c>
      <c r="B322">
        <v>939</v>
      </c>
      <c r="D322" t="str">
        <f>VLOOKUP(B322,[1]ManipulationPage!$A$3:$D$541,4,FALSE)</f>
        <v>Pasta</v>
      </c>
      <c r="E322" s="6" t="str">
        <f>IF(VLOOKUP(B322,DishNotes!$B$2:$E$573,4,FALSE)="!","!","")</f>
        <v>!</v>
      </c>
    </row>
    <row r="323" spans="1:10" x14ac:dyDescent="0.2">
      <c r="A323" t="s">
        <v>582</v>
      </c>
      <c r="B323">
        <v>285</v>
      </c>
      <c r="C323">
        <v>2579</v>
      </c>
      <c r="D323" t="str">
        <f>VLOOKUP(B323,[1]ManipulationPage!$A$3:$D$541,4,FALSE)</f>
        <v>Pasta</v>
      </c>
      <c r="E323" t="str">
        <f>IF(VLOOKUP(B323,DishNotes!$B$2:$E$573,4,FALSE)="!","!","")</f>
        <v/>
      </c>
      <c r="F323" t="s">
        <v>1281</v>
      </c>
      <c r="G323" t="s">
        <v>1282</v>
      </c>
      <c r="H323" t="s">
        <v>1281</v>
      </c>
    </row>
    <row r="324" spans="1:10" x14ac:dyDescent="0.2">
      <c r="A324" t="s">
        <v>604</v>
      </c>
      <c r="B324">
        <v>69</v>
      </c>
      <c r="C324">
        <v>1340</v>
      </c>
      <c r="D324" t="str">
        <f>VLOOKUP(B324,[1]ManipulationPage!$A$3:$D$541,4,FALSE)</f>
        <v>Pasta</v>
      </c>
      <c r="E324" t="str">
        <f>IF(VLOOKUP(B324,DishNotes!$B$2:$E$573,4,FALSE)="!","!","")</f>
        <v>!</v>
      </c>
      <c r="F324" t="s">
        <v>1296</v>
      </c>
    </row>
    <row r="325" spans="1:10" x14ac:dyDescent="0.2">
      <c r="A325" t="s">
        <v>604</v>
      </c>
      <c r="B325">
        <v>1073</v>
      </c>
      <c r="C325">
        <v>8347</v>
      </c>
      <c r="D325" t="str">
        <f>VLOOKUP(B325,[1]ManipulationPage!$A$3:$D$541,4,FALSE)</f>
        <v>Pasta</v>
      </c>
      <c r="E325" t="str">
        <f>IF(VLOOKUP(B325,DishNotes!$B$2:$E$573,4,FALSE)="!","!","")</f>
        <v>!</v>
      </c>
      <c r="F325" t="s">
        <v>1296</v>
      </c>
    </row>
    <row r="326" spans="1:10" x14ac:dyDescent="0.2">
      <c r="A326" t="s">
        <v>606</v>
      </c>
      <c r="B326">
        <v>984</v>
      </c>
      <c r="C326">
        <v>5389</v>
      </c>
      <c r="D326" t="str">
        <f>VLOOKUP(B326,[1]ManipulationPage!$A$3:$D$541,4,FALSE)</f>
        <v>Pasta</v>
      </c>
      <c r="E326" t="str">
        <f>IF(VLOOKUP(B326,DishNotes!$B$2:$E$573,4,FALSE)="!","!","")</f>
        <v>!</v>
      </c>
      <c r="F326" t="s">
        <v>1048</v>
      </c>
      <c r="G326" t="s">
        <v>1049</v>
      </c>
      <c r="H326" t="s">
        <v>1050</v>
      </c>
      <c r="I326" t="s">
        <v>1051</v>
      </c>
      <c r="J326" t="s">
        <v>1052</v>
      </c>
    </row>
    <row r="327" spans="1:10" x14ac:dyDescent="0.2">
      <c r="A327" t="s">
        <v>606</v>
      </c>
      <c r="B327">
        <v>1096</v>
      </c>
      <c r="C327">
        <v>9389</v>
      </c>
      <c r="D327" t="str">
        <f>VLOOKUP(B327,[1]ManipulationPage!$A$3:$D$541,4,FALSE)</f>
        <v>Pasta</v>
      </c>
      <c r="E327" t="str">
        <f>IF(VLOOKUP(B327,DishNotes!$B$2:$E$573,4,FALSE)="!","!","")</f>
        <v>!</v>
      </c>
      <c r="F327" t="s">
        <v>1048</v>
      </c>
      <c r="G327" t="s">
        <v>1049</v>
      </c>
      <c r="H327" t="s">
        <v>1050</v>
      </c>
      <c r="I327" t="s">
        <v>1051</v>
      </c>
      <c r="J327" t="s">
        <v>1052</v>
      </c>
    </row>
    <row r="328" spans="1:10" x14ac:dyDescent="0.2">
      <c r="A328" t="s">
        <v>648</v>
      </c>
      <c r="B328">
        <v>961</v>
      </c>
      <c r="C328">
        <v>4939</v>
      </c>
      <c r="D328" t="str">
        <f>VLOOKUP(B328,[1]ManipulationPage!$A$3:$D$541,4,FALSE)</f>
        <v>Pasta</v>
      </c>
      <c r="E328" t="str">
        <f>IF(VLOOKUP(B328,DishNotes!$B$2:$E$573,4,FALSE)="!","!","")</f>
        <v>!</v>
      </c>
      <c r="F328" t="s">
        <v>1347</v>
      </c>
      <c r="G328" t="s">
        <v>1348</v>
      </c>
      <c r="H328" t="s">
        <v>1349</v>
      </c>
      <c r="I328" t="s">
        <v>1350</v>
      </c>
      <c r="J328" t="s">
        <v>1351</v>
      </c>
    </row>
    <row r="329" spans="1:10" ht="24" x14ac:dyDescent="0.3">
      <c r="A329" t="s">
        <v>747</v>
      </c>
      <c r="B329">
        <v>1056</v>
      </c>
      <c r="C329">
        <v>7353</v>
      </c>
      <c r="D329" t="str">
        <f>VLOOKUP(B329,[1]ManipulationPage!$A$3:$D$541,4,FALSE)</f>
        <v>Pasta</v>
      </c>
      <c r="E329" s="6" t="str">
        <f>IF(VLOOKUP(B329,DishNotes!$B$2:$E$573,4,FALSE)="!","!","")</f>
        <v>!</v>
      </c>
    </row>
    <row r="330" spans="1:10" x14ac:dyDescent="0.2">
      <c r="A330" t="s">
        <v>901</v>
      </c>
      <c r="B330">
        <v>962</v>
      </c>
      <c r="C330">
        <v>4950</v>
      </c>
      <c r="D330" t="str">
        <f>VLOOKUP(B330,[1]ManipulationPage!$A$3:$D$541,4,FALSE)</f>
        <v>Pasta</v>
      </c>
      <c r="E330" t="str">
        <f>IF(VLOOKUP(B330,DishNotes!$B$2:$E$573,4,FALSE)="!","!","")</f>
        <v>!</v>
      </c>
      <c r="F330" t="s">
        <v>1518</v>
      </c>
      <c r="G330" t="s">
        <v>1519</v>
      </c>
      <c r="H330" t="s">
        <v>1520</v>
      </c>
      <c r="I330" t="s">
        <v>1521</v>
      </c>
      <c r="J330" t="s">
        <v>1522</v>
      </c>
    </row>
    <row r="331" spans="1:10" ht="24" x14ac:dyDescent="0.3">
      <c r="A331" t="s">
        <v>16</v>
      </c>
      <c r="B331">
        <v>989</v>
      </c>
      <c r="C331">
        <v>5425</v>
      </c>
      <c r="D331" t="str">
        <f>VLOOKUP(B331,[1]ManipulationPage!$A$3:$D$541,4,FALSE)</f>
        <v>Salad</v>
      </c>
      <c r="E331" s="6" t="str">
        <f>IF(VLOOKUP(B331,DishNotes!$B$2:$E$573,4,FALSE)="!","!","")</f>
        <v>!</v>
      </c>
    </row>
    <row r="332" spans="1:10" ht="24" x14ac:dyDescent="0.3">
      <c r="A332" t="s">
        <v>143</v>
      </c>
      <c r="B332">
        <v>990</v>
      </c>
      <c r="C332">
        <v>5451</v>
      </c>
      <c r="D332" t="str">
        <f>VLOOKUP(B332,[1]ManipulationPage!$A$3:$D$541,4,FALSE)</f>
        <v>Salad</v>
      </c>
      <c r="E332" s="6" t="str">
        <f>IF(VLOOKUP(B332,DishNotes!$B$2:$E$573,4,FALSE)="!","!","")</f>
        <v>!</v>
      </c>
    </row>
    <row r="333" spans="1:10" x14ac:dyDescent="0.2">
      <c r="A333" t="s">
        <v>221</v>
      </c>
      <c r="B333">
        <v>196</v>
      </c>
      <c r="C333">
        <v>2049</v>
      </c>
      <c r="D333" t="str">
        <f>VLOOKUP(B333,[1]ManipulationPage!$A$3:$D$541,4,FALSE)</f>
        <v>Salad</v>
      </c>
      <c r="E333" t="str">
        <f>IF(VLOOKUP(B333,DishNotes!$B$2:$E$573,4,FALSE)="!","!","")</f>
        <v>!</v>
      </c>
      <c r="F333" t="s">
        <v>1053</v>
      </c>
      <c r="G333" t="s">
        <v>1053</v>
      </c>
      <c r="H333" t="s">
        <v>1054</v>
      </c>
    </row>
    <row r="334" spans="1:10" ht="24" x14ac:dyDescent="0.3">
      <c r="A334" t="s">
        <v>345</v>
      </c>
      <c r="B334">
        <v>554</v>
      </c>
      <c r="D334" t="str">
        <f>VLOOKUP(B334,[1]ManipulationPage!$A$3:$D$541,4,FALSE)</f>
        <v>Salad</v>
      </c>
      <c r="E334" s="6" t="str">
        <f>IF(VLOOKUP(B334,DishNotes!$B$2:$E$573,4,FALSE)="!","!","")</f>
        <v>!</v>
      </c>
    </row>
    <row r="335" spans="1:10" ht="24" x14ac:dyDescent="0.3">
      <c r="A335" t="s">
        <v>421</v>
      </c>
      <c r="B335">
        <v>996</v>
      </c>
      <c r="C335">
        <v>5563</v>
      </c>
      <c r="D335" t="str">
        <f>VLOOKUP(B335,[1]ManipulationPage!$A$3:$D$541,4,FALSE)</f>
        <v>Salad</v>
      </c>
      <c r="E335" s="6" t="str">
        <f>IF(VLOOKUP(B335,DishNotes!$B$2:$E$573,4,FALSE)="!","!","")</f>
        <v>!</v>
      </c>
    </row>
    <row r="336" spans="1:10" ht="24" x14ac:dyDescent="0.3">
      <c r="A336" t="s">
        <v>478</v>
      </c>
      <c r="B336">
        <v>994</v>
      </c>
      <c r="C336">
        <v>5519</v>
      </c>
      <c r="D336" t="str">
        <f>VLOOKUP(B336,[1]ManipulationPage!$A$3:$D$541,4,FALSE)</f>
        <v>Salad</v>
      </c>
      <c r="E336" s="6" t="str">
        <f>IF(VLOOKUP(B336,DishNotes!$B$2:$E$573,4,FALSE)="!","!","")</f>
        <v>!</v>
      </c>
    </row>
    <row r="337" spans="1:10" x14ac:dyDescent="0.2">
      <c r="A337" t="s">
        <v>566</v>
      </c>
      <c r="B337">
        <v>106</v>
      </c>
      <c r="C337">
        <v>1514</v>
      </c>
      <c r="D337" t="str">
        <f>VLOOKUP(B337,[1]ManipulationPage!$A$3:$D$541,4,FALSE)</f>
        <v>Salad</v>
      </c>
      <c r="E337" t="str">
        <f>IF(VLOOKUP(B337,DishNotes!$B$2:$E$573,4,FALSE)="!","!","")</f>
        <v>!</v>
      </c>
      <c r="F337" t="s">
        <v>1268</v>
      </c>
      <c r="G337" t="s">
        <v>1269</v>
      </c>
      <c r="H337" t="s">
        <v>1270</v>
      </c>
    </row>
    <row r="338" spans="1:10" ht="24" x14ac:dyDescent="0.3">
      <c r="A338" t="s">
        <v>610</v>
      </c>
      <c r="B338">
        <v>997</v>
      </c>
      <c r="C338">
        <v>5577</v>
      </c>
      <c r="D338" t="str">
        <f>VLOOKUP(B338,[1]ManipulationPage!$A$3:$D$541,4,FALSE)</f>
        <v>Salad</v>
      </c>
      <c r="E338" s="6" t="str">
        <f>IF(VLOOKUP(B338,DishNotes!$B$2:$E$573,4,FALSE)="!","!","")</f>
        <v>!</v>
      </c>
    </row>
    <row r="339" spans="1:10" x14ac:dyDescent="0.2">
      <c r="A339" t="s">
        <v>660</v>
      </c>
      <c r="B339">
        <v>362</v>
      </c>
      <c r="C339">
        <v>2861</v>
      </c>
      <c r="D339" t="str">
        <f>VLOOKUP(B339,[1]ManipulationPage!$A$3:$D$541,4,FALSE)</f>
        <v>Salad</v>
      </c>
      <c r="E339" t="str">
        <f>IF(VLOOKUP(B339,DishNotes!$B$2:$E$573,4,FALSE)="!","!","")</f>
        <v>!</v>
      </c>
      <c r="F339" t="s">
        <v>1358</v>
      </c>
    </row>
    <row r="340" spans="1:10" x14ac:dyDescent="0.2">
      <c r="A340" t="s">
        <v>666</v>
      </c>
      <c r="B340">
        <v>48</v>
      </c>
      <c r="C340">
        <v>1238</v>
      </c>
      <c r="D340" t="str">
        <f>VLOOKUP(B340,[1]ManipulationPage!$A$3:$D$541,4,FALSE)</f>
        <v>Salad</v>
      </c>
      <c r="E340" t="str">
        <f>IF(VLOOKUP(B340,DishNotes!$B$2:$E$573,4,FALSE)="!","!","")</f>
        <v>!</v>
      </c>
      <c r="F340" t="s">
        <v>1355</v>
      </c>
      <c r="G340" t="s">
        <v>1356</v>
      </c>
      <c r="H340" t="s">
        <v>1357</v>
      </c>
    </row>
    <row r="341" spans="1:10" ht="24" x14ac:dyDescent="0.3">
      <c r="A341" t="s">
        <v>667</v>
      </c>
      <c r="B341">
        <v>999</v>
      </c>
      <c r="C341">
        <v>5597</v>
      </c>
      <c r="D341" t="str">
        <f>VLOOKUP(B341,[1]ManipulationPage!$A$3:$D$541,4,FALSE)</f>
        <v>Salad</v>
      </c>
      <c r="E341" s="6" t="str">
        <f>IF(VLOOKUP(B341,DishNotes!$B$2:$E$573,4,FALSE)="!","!","")</f>
        <v>!</v>
      </c>
    </row>
    <row r="342" spans="1:10" x14ac:dyDescent="0.2">
      <c r="A342" t="s">
        <v>685</v>
      </c>
      <c r="B342">
        <v>55</v>
      </c>
      <c r="C342">
        <v>1250</v>
      </c>
      <c r="D342" t="str">
        <f>VLOOKUP(B342,[1]ManipulationPage!$A$3:$D$541,4,FALSE)</f>
        <v>Salad</v>
      </c>
      <c r="E342" t="str">
        <f>IF(VLOOKUP(B342,DishNotes!$B$2:$E$573,4,FALSE)="!","!","")</f>
        <v>!</v>
      </c>
      <c r="F342" t="s">
        <v>1355</v>
      </c>
      <c r="G342" t="s">
        <v>1356</v>
      </c>
      <c r="H342" t="s">
        <v>1357</v>
      </c>
    </row>
    <row r="343" spans="1:10" x14ac:dyDescent="0.2">
      <c r="A343" t="s">
        <v>698</v>
      </c>
      <c r="B343">
        <v>94</v>
      </c>
      <c r="C343">
        <v>1434</v>
      </c>
      <c r="D343" t="str">
        <f>VLOOKUP(B343,[1]ManipulationPage!$A$3:$D$541,4,FALSE)</f>
        <v>Salad</v>
      </c>
      <c r="E343" t="str">
        <f>IF(VLOOKUP(B343,DishNotes!$B$2:$E$573,4,FALSE)="!","!","")</f>
        <v>!</v>
      </c>
      <c r="F343" t="s">
        <v>1377</v>
      </c>
      <c r="G343" t="s">
        <v>1377</v>
      </c>
      <c r="H343" t="s">
        <v>1378</v>
      </c>
      <c r="I343" t="s">
        <v>1379</v>
      </c>
      <c r="J343" t="s">
        <v>1380</v>
      </c>
    </row>
    <row r="344" spans="1:10" x14ac:dyDescent="0.2">
      <c r="A344" t="s">
        <v>736</v>
      </c>
      <c r="B344">
        <v>144</v>
      </c>
      <c r="C344">
        <v>1764</v>
      </c>
      <c r="D344" t="str">
        <f>VLOOKUP(B344,[1]ManipulationPage!$A$3:$D$541,4,FALSE)</f>
        <v>Salad</v>
      </c>
      <c r="E344" t="str">
        <f>IF(VLOOKUP(B344,DishNotes!$B$2:$E$573,4,FALSE)="!","!","")</f>
        <v>!</v>
      </c>
      <c r="F344" t="s">
        <v>1401</v>
      </c>
      <c r="G344" t="s">
        <v>1402</v>
      </c>
      <c r="H344" t="s">
        <v>1403</v>
      </c>
    </row>
    <row r="345" spans="1:10" ht="24" x14ac:dyDescent="0.3">
      <c r="A345" t="s">
        <v>769</v>
      </c>
      <c r="B345">
        <v>998</v>
      </c>
      <c r="C345">
        <v>5591</v>
      </c>
      <c r="D345" t="str">
        <f>VLOOKUP(B345,[1]ManipulationPage!$A$3:$D$541,4,FALSE)</f>
        <v>Salad</v>
      </c>
      <c r="E345" s="6" t="str">
        <f>IF(VLOOKUP(B345,DishNotes!$B$2:$E$573,4,FALSE)="!","!","")</f>
        <v>!</v>
      </c>
    </row>
    <row r="346" spans="1:10" x14ac:dyDescent="0.2">
      <c r="A346" t="s">
        <v>790</v>
      </c>
      <c r="B346">
        <v>1002</v>
      </c>
      <c r="C346">
        <v>5663</v>
      </c>
      <c r="D346" t="str">
        <f>VLOOKUP(B346,[1]ManipulationPage!$A$3:$D$541,4,FALSE)</f>
        <v>Salad</v>
      </c>
      <c r="E346" t="str">
        <f>IF(VLOOKUP(B346,DishNotes!$B$2:$E$573,4,FALSE)="!","!","")</f>
        <v>!</v>
      </c>
      <c r="F346" t="s">
        <v>1441</v>
      </c>
      <c r="G346" t="s">
        <v>1442</v>
      </c>
      <c r="H346" t="s">
        <v>1443</v>
      </c>
      <c r="I346" t="s">
        <v>1444</v>
      </c>
      <c r="J346" t="s">
        <v>1445</v>
      </c>
    </row>
    <row r="347" spans="1:10" x14ac:dyDescent="0.2">
      <c r="A347" t="s">
        <v>855</v>
      </c>
      <c r="B347">
        <v>195</v>
      </c>
      <c r="C347">
        <v>2043</v>
      </c>
      <c r="D347" t="str">
        <f>VLOOKUP(B347,[1]ManipulationPage!$A$3:$D$541,4,FALSE)</f>
        <v>Salad</v>
      </c>
      <c r="E347" t="str">
        <f>IF(VLOOKUP(B347,DishNotes!$B$2:$E$573,4,FALSE)="!","!","")</f>
        <v>!</v>
      </c>
      <c r="F347" t="s">
        <v>1486</v>
      </c>
      <c r="G347" t="s">
        <v>1486</v>
      </c>
      <c r="H347" t="s">
        <v>1486</v>
      </c>
    </row>
    <row r="348" spans="1:10" x14ac:dyDescent="0.2">
      <c r="A348" t="s">
        <v>890</v>
      </c>
      <c r="B348">
        <v>281</v>
      </c>
      <c r="C348">
        <v>2555</v>
      </c>
      <c r="D348" t="str">
        <f>VLOOKUP(B348,[1]ManipulationPage!$A$3:$D$541,4,FALSE)</f>
        <v>Salad</v>
      </c>
      <c r="E348" t="str">
        <f>IF(VLOOKUP(B348,DishNotes!$B$2:$E$573,4,FALSE)="!","!","")</f>
        <v>!</v>
      </c>
      <c r="F348" t="s">
        <v>1511</v>
      </c>
      <c r="G348" t="s">
        <v>1511</v>
      </c>
      <c r="H348" t="s">
        <v>1512</v>
      </c>
    </row>
    <row r="349" spans="1:10" x14ac:dyDescent="0.2">
      <c r="A349" t="s">
        <v>891</v>
      </c>
      <c r="B349">
        <v>253</v>
      </c>
      <c r="C349">
        <v>2389</v>
      </c>
      <c r="D349" t="str">
        <f>VLOOKUP(B349,[1]ManipulationPage!$A$3:$D$541,4,FALSE)</f>
        <v>Salad</v>
      </c>
      <c r="E349" t="str">
        <f>IF(VLOOKUP(B349,DishNotes!$B$2:$E$573,4,FALSE)="!","!","")</f>
        <v>!</v>
      </c>
      <c r="F349" t="s">
        <v>1513</v>
      </c>
      <c r="G349" t="s">
        <v>1514</v>
      </c>
      <c r="H349" t="s">
        <v>1515</v>
      </c>
    </row>
    <row r="350" spans="1:10" x14ac:dyDescent="0.2">
      <c r="A350" t="s">
        <v>169</v>
      </c>
      <c r="B350">
        <v>134</v>
      </c>
      <c r="C350">
        <v>2863</v>
      </c>
      <c r="D350" t="str">
        <f>VLOOKUP(B350,[1]ManipulationPage!$A$3:$D$541,4,FALSE)</f>
        <v>Sandwich</v>
      </c>
      <c r="E350" t="str">
        <f>IF(VLOOKUP(B350,DishNotes!$B$2:$E$573,4,FALSE)="!","!","")</f>
        <v>!</v>
      </c>
      <c r="F350" t="s">
        <v>1011</v>
      </c>
    </row>
    <row r="351" spans="1:10" x14ac:dyDescent="0.2">
      <c r="A351" t="s">
        <v>506</v>
      </c>
      <c r="B351">
        <v>133</v>
      </c>
      <c r="C351">
        <v>1686</v>
      </c>
      <c r="D351" t="str">
        <f>VLOOKUP(B351,[1]ManipulationPage!$A$3:$D$541,4,FALSE)</f>
        <v>Sandwich</v>
      </c>
      <c r="E351" t="str">
        <f>IF(VLOOKUP(B351,DishNotes!$B$2:$E$573,4,FALSE)="!","!","")</f>
        <v>!</v>
      </c>
      <c r="F351" t="s">
        <v>1200</v>
      </c>
      <c r="G351" t="s">
        <v>1201</v>
      </c>
      <c r="H351" t="s">
        <v>1202</v>
      </c>
    </row>
    <row r="352" spans="1:10" x14ac:dyDescent="0.2">
      <c r="A352" t="s">
        <v>706</v>
      </c>
      <c r="B352">
        <v>1161</v>
      </c>
      <c r="C352">
        <v>10855</v>
      </c>
      <c r="D352" t="str">
        <f>VLOOKUP(B352,[1]ManipulationPage!$A$3:$D$541,4,FALSE)</f>
        <v>Sandwich</v>
      </c>
      <c r="E352" t="str">
        <f>IF(VLOOKUP(B352,DishNotes!$B$2:$E$573,4,FALSE)="!","!","")</f>
        <v/>
      </c>
      <c r="G352" t="s">
        <v>486</v>
      </c>
      <c r="H352" t="s">
        <v>486</v>
      </c>
    </row>
    <row r="353" spans="1:10" x14ac:dyDescent="0.2">
      <c r="A353" t="s">
        <v>710</v>
      </c>
      <c r="B353">
        <v>544</v>
      </c>
      <c r="D353" t="str">
        <f>VLOOKUP(B353,[1]ManipulationPage!$A$3:$D$541,4,FALSE)</f>
        <v>Sandwich</v>
      </c>
      <c r="E353" t="str">
        <f>IF(VLOOKUP(B353,DishNotes!$B$2:$E$573,4,FALSE)="!","!","")</f>
        <v/>
      </c>
    </row>
    <row r="354" spans="1:10" ht="24" x14ac:dyDescent="0.3">
      <c r="A354" t="s">
        <v>547</v>
      </c>
      <c r="B354">
        <v>1045</v>
      </c>
      <c r="C354">
        <v>6493</v>
      </c>
      <c r="D354" t="str">
        <f>VLOOKUP(B354,[1]ManipulationPage!$A$3:$D$541,4,FALSE)</f>
        <v xml:space="preserve">Savory </v>
      </c>
      <c r="E354" s="6" t="str">
        <f>IF(VLOOKUP(B354,DishNotes!$B$2:$E$573,4,FALSE)="!","!","")</f>
        <v>!</v>
      </c>
    </row>
    <row r="355" spans="1:10" x14ac:dyDescent="0.2">
      <c r="A355" t="s">
        <v>626</v>
      </c>
      <c r="B355">
        <v>34</v>
      </c>
      <c r="C355">
        <v>1150</v>
      </c>
      <c r="D355" t="str">
        <f>VLOOKUP(B355,[1]ManipulationPage!$A$3:$D$541,4,FALSE)</f>
        <v xml:space="preserve">Savory </v>
      </c>
      <c r="E355" t="str">
        <f>IF(VLOOKUP(B355,DishNotes!$B$2:$E$573,4,FALSE)="!","!","")</f>
        <v>!</v>
      </c>
      <c r="F355" t="s">
        <v>1329</v>
      </c>
      <c r="G355" t="s">
        <v>1330</v>
      </c>
      <c r="H355" t="s">
        <v>1331</v>
      </c>
      <c r="J355" t="s">
        <v>1332</v>
      </c>
    </row>
    <row r="356" spans="1:10" x14ac:dyDescent="0.2">
      <c r="A356" t="s">
        <v>241</v>
      </c>
      <c r="B356">
        <v>15</v>
      </c>
      <c r="C356">
        <v>1044</v>
      </c>
      <c r="D356" t="str">
        <f>VLOOKUP(B356,[1]ManipulationPage!$A$3:$D$541,4,FALSE)</f>
        <v>Soup</v>
      </c>
      <c r="E356" t="str">
        <f>IF(VLOOKUP(B356,DishNotes!$B$2:$E$573,4,FALSE)="!","!","")</f>
        <v>!</v>
      </c>
      <c r="F356" t="s">
        <v>242</v>
      </c>
      <c r="G356" t="s">
        <v>243</v>
      </c>
      <c r="H356" t="s">
        <v>244</v>
      </c>
    </row>
    <row r="357" spans="1:10" ht="24" x14ac:dyDescent="0.3">
      <c r="A357" t="s">
        <v>1677</v>
      </c>
      <c r="B357">
        <v>1046</v>
      </c>
      <c r="C357">
        <v>6583</v>
      </c>
      <c r="D357" t="str">
        <f>VLOOKUP(B357,[1]ManipulationPage!$A$3:$D$541,4,FALSE)</f>
        <v>Soup</v>
      </c>
      <c r="E357" s="6" t="str">
        <f>IF(VLOOKUP(B357,DishNotes!$B$2:$E$573,4,FALSE)="!","!","")</f>
        <v>!</v>
      </c>
    </row>
    <row r="358" spans="1:10" x14ac:dyDescent="0.2">
      <c r="B358">
        <v>136</v>
      </c>
      <c r="C358">
        <v>1704</v>
      </c>
      <c r="D358" t="str">
        <f>VLOOKUP(B358,[1]ManipulationPage!$A$3:$D$541,4,FALSE)</f>
        <v>Soup</v>
      </c>
      <c r="E358" t="str">
        <f>IF(VLOOKUP(B358,DishNotes!$B$2:$E$573,4,FALSE)="!","!","")</f>
        <v>!</v>
      </c>
      <c r="F358" t="s">
        <v>1093</v>
      </c>
      <c r="G358" t="s">
        <v>1094</v>
      </c>
      <c r="H358" t="s">
        <v>1095</v>
      </c>
    </row>
    <row r="359" spans="1:10" ht="24" x14ac:dyDescent="0.3">
      <c r="A359" t="s">
        <v>311</v>
      </c>
      <c r="B359">
        <v>979</v>
      </c>
      <c r="C359">
        <v>5290</v>
      </c>
      <c r="D359" t="str">
        <f>VLOOKUP(B359,[1]ManipulationPage!$A$3:$D$541,4,FALSE)</f>
        <v>Soup</v>
      </c>
      <c r="E359" s="6" t="str">
        <f>IF(VLOOKUP(B359,DishNotes!$B$2:$E$573,4,FALSE)="!","!","")</f>
        <v>!</v>
      </c>
    </row>
    <row r="360" spans="1:10" ht="24" x14ac:dyDescent="0.3">
      <c r="A360" t="s">
        <v>313</v>
      </c>
      <c r="B360">
        <v>978</v>
      </c>
      <c r="C360">
        <v>5284</v>
      </c>
      <c r="D360" t="str">
        <f>VLOOKUP(B360,[1]ManipulationPage!$A$3:$D$541,4,FALSE)</f>
        <v>Soup</v>
      </c>
      <c r="E360" s="6" t="str">
        <f>IF(VLOOKUP(B360,DishNotes!$B$2:$E$573,4,FALSE)="!","!","")</f>
        <v>!</v>
      </c>
    </row>
    <row r="361" spans="1:10" ht="24" x14ac:dyDescent="0.3">
      <c r="A361" t="s">
        <v>321</v>
      </c>
      <c r="B361">
        <v>980</v>
      </c>
      <c r="C361">
        <v>5296</v>
      </c>
      <c r="D361" t="str">
        <f>VLOOKUP(B361,[1]ManipulationPage!$A$3:$D$541,4,FALSE)</f>
        <v>Soup</v>
      </c>
      <c r="E361" s="6" t="str">
        <f>IF(VLOOKUP(B361,DishNotes!$B$2:$E$573,4,FALSE)="!","!","")</f>
        <v>!</v>
      </c>
    </row>
    <row r="362" spans="1:10" ht="24" x14ac:dyDescent="0.3">
      <c r="A362" t="s">
        <v>324</v>
      </c>
      <c r="B362">
        <v>977</v>
      </c>
      <c r="C362">
        <v>5278</v>
      </c>
      <c r="D362" t="str">
        <f>VLOOKUP(B362,[1]ManipulationPage!$A$3:$D$541,4,FALSE)</f>
        <v>Soup</v>
      </c>
      <c r="E362" s="6" t="str">
        <f>IF(VLOOKUP(B362,DishNotes!$B$2:$E$573,4,FALSE)="!","!","")</f>
        <v>!</v>
      </c>
    </row>
    <row r="363" spans="1:10" ht="24" x14ac:dyDescent="0.3">
      <c r="A363" t="s">
        <v>325</v>
      </c>
      <c r="B363">
        <v>976</v>
      </c>
      <c r="C363">
        <v>5268</v>
      </c>
      <c r="D363" t="str">
        <f>VLOOKUP(B363,[1]ManipulationPage!$A$3:$D$541,4,FALSE)</f>
        <v>Soup</v>
      </c>
      <c r="E363" s="6" t="str">
        <f>IF(VLOOKUP(B363,DishNotes!$B$2:$E$573,4,FALSE)="!","!","")</f>
        <v>!</v>
      </c>
    </row>
    <row r="364" spans="1:10" ht="24" x14ac:dyDescent="0.3">
      <c r="A364" t="s">
        <v>327</v>
      </c>
      <c r="B364">
        <v>981</v>
      </c>
      <c r="C364">
        <v>5332</v>
      </c>
      <c r="D364" t="str">
        <f>VLOOKUP(B364,[1]ManipulationPage!$A$3:$D$541,4,FALSE)</f>
        <v>Soup</v>
      </c>
      <c r="E364" s="6" t="str">
        <f>IF(VLOOKUP(B364,DishNotes!$B$2:$E$573,4,FALSE)="!","!","")</f>
        <v>!</v>
      </c>
    </row>
    <row r="365" spans="1:10" x14ac:dyDescent="0.2">
      <c r="A365" t="s">
        <v>328</v>
      </c>
      <c r="B365">
        <v>227</v>
      </c>
      <c r="C365">
        <v>2239</v>
      </c>
      <c r="D365" t="str">
        <f>VLOOKUP(B365,[1]ManipulationPage!$A$3:$D$541,4,FALSE)</f>
        <v>Soup</v>
      </c>
      <c r="E365" t="str">
        <f>IF(VLOOKUP(B365,DishNotes!$B$2:$E$573,4,FALSE)="!","!","")</f>
        <v>!</v>
      </c>
    </row>
    <row r="366" spans="1:10" x14ac:dyDescent="0.2">
      <c r="A366" t="s">
        <v>8</v>
      </c>
      <c r="B366">
        <v>1061</v>
      </c>
      <c r="C366">
        <v>7890</v>
      </c>
      <c r="D366" t="str">
        <f>VLOOKUP(B366,[1]ManipulationPage!$A$3:$D$541,4,FALSE)</f>
        <v>Spain</v>
      </c>
      <c r="E366" t="str">
        <f>IF(VLOOKUP(B366,DishNotes!$B$2:$E$573,4,FALSE)="!","!","")</f>
        <v>!</v>
      </c>
      <c r="F366" t="s">
        <v>905</v>
      </c>
      <c r="G366" t="s">
        <v>906</v>
      </c>
      <c r="H366" t="s">
        <v>907</v>
      </c>
    </row>
    <row r="367" spans="1:10" x14ac:dyDescent="0.2">
      <c r="A367" t="s">
        <v>63</v>
      </c>
      <c r="B367">
        <v>1079</v>
      </c>
      <c r="C367">
        <v>8776</v>
      </c>
      <c r="D367" t="str">
        <f>VLOOKUP(B367,[1]ManipulationPage!$A$3:$D$541,4,FALSE)</f>
        <v>Spain</v>
      </c>
      <c r="E367" t="str">
        <f>IF(VLOOKUP(B367,DishNotes!$B$2:$E$573,4,FALSE)="!","!","")</f>
        <v/>
      </c>
      <c r="F367" t="s">
        <v>937</v>
      </c>
    </row>
    <row r="368" spans="1:10" x14ac:dyDescent="0.2">
      <c r="A368" t="s">
        <v>303</v>
      </c>
      <c r="B368">
        <v>1062</v>
      </c>
      <c r="C368">
        <v>7906</v>
      </c>
      <c r="D368" t="str">
        <f>VLOOKUP(B368,[1]ManipulationPage!$A$3:$D$541,4,FALSE)</f>
        <v>Spain</v>
      </c>
      <c r="E368" t="str">
        <f>IF(VLOOKUP(B368,DishNotes!$B$2:$E$573,4,FALSE)="!","!","")</f>
        <v/>
      </c>
      <c r="F368" t="s">
        <v>1107</v>
      </c>
    </row>
    <row r="369" spans="1:10" x14ac:dyDescent="0.2">
      <c r="A369" t="s">
        <v>400</v>
      </c>
      <c r="B369">
        <v>135</v>
      </c>
      <c r="C369">
        <v>1700</v>
      </c>
      <c r="D369" t="str">
        <f>VLOOKUP(B369,[1]ManipulationPage!$A$3:$D$541,4,FALSE)</f>
        <v>Spain</v>
      </c>
      <c r="E369" t="str">
        <f>IF(VLOOKUP(B369,DishNotes!$B$2:$E$573,4,FALSE)="!","!","")</f>
        <v>!</v>
      </c>
      <c r="F369" t="s">
        <v>905</v>
      </c>
      <c r="G369" t="s">
        <v>906</v>
      </c>
      <c r="H369" t="s">
        <v>907</v>
      </c>
    </row>
    <row r="370" spans="1:10" x14ac:dyDescent="0.2">
      <c r="A370" t="s">
        <v>605</v>
      </c>
      <c r="B370">
        <v>632</v>
      </c>
      <c r="C370">
        <v>3400</v>
      </c>
      <c r="D370" t="str">
        <f>VLOOKUP(B370,[1]ManipulationPage!$A$3:$D$541,4,FALSE)</f>
        <v>Spain</v>
      </c>
      <c r="E370" t="str">
        <f>IF(VLOOKUP(B370,DishNotes!$B$2:$E$573,4,FALSE)="!","!","")</f>
        <v/>
      </c>
      <c r="F370" t="s">
        <v>1310</v>
      </c>
    </row>
    <row r="371" spans="1:10" x14ac:dyDescent="0.2">
      <c r="A371" t="s">
        <v>617</v>
      </c>
      <c r="B371">
        <v>1063</v>
      </c>
      <c r="C371">
        <v>7924</v>
      </c>
      <c r="D371" t="str">
        <f>VLOOKUP(B371,[1]ManipulationPage!$A$3:$D$541,4,FALSE)</f>
        <v>Spain</v>
      </c>
      <c r="E371" t="str">
        <f>IF(VLOOKUP(B371,DishNotes!$B$2:$E$573,4,FALSE)="!","!","")</f>
        <v/>
      </c>
    </row>
    <row r="372" spans="1:10" x14ac:dyDescent="0.2">
      <c r="A372" t="s">
        <v>748</v>
      </c>
      <c r="B372">
        <v>1070</v>
      </c>
      <c r="C372">
        <v>8171</v>
      </c>
      <c r="D372" t="str">
        <f>VLOOKUP(B372,[1]ManipulationPage!$A$3:$D$541,4,FALSE)</f>
        <v>Spain</v>
      </c>
      <c r="E372" t="str">
        <f>IF(VLOOKUP(B372,DishNotes!$B$2:$E$573,4,FALSE)="!","!","")</f>
        <v>!</v>
      </c>
    </row>
    <row r="373" spans="1:10" x14ac:dyDescent="0.2">
      <c r="A373" t="s">
        <v>749</v>
      </c>
      <c r="B373">
        <v>32</v>
      </c>
      <c r="C373">
        <v>1140</v>
      </c>
      <c r="D373" t="str">
        <f>VLOOKUP(B373,[1]ManipulationPage!$A$3:$D$541,4,FALSE)</f>
        <v>Spain</v>
      </c>
      <c r="E373" t="str">
        <f>IF(VLOOKUP(B373,DishNotes!$B$2:$E$573,4,FALSE)="!","!","")</f>
        <v>!</v>
      </c>
      <c r="F373" t="s">
        <v>1411</v>
      </c>
      <c r="G373" t="s">
        <v>1412</v>
      </c>
      <c r="H373" t="s">
        <v>1413</v>
      </c>
    </row>
    <row r="374" spans="1:10" x14ac:dyDescent="0.2">
      <c r="A374" t="s">
        <v>112</v>
      </c>
      <c r="B374">
        <v>1011</v>
      </c>
      <c r="C374">
        <v>5841</v>
      </c>
      <c r="D374" t="str">
        <f>VLOOKUP(B374,[1]ManipulationPage!$A$3:$D$541,4,FALSE)</f>
        <v>Stew</v>
      </c>
      <c r="E374" t="str">
        <f>IF(VLOOKUP(B374,DishNotes!$B$2:$E$573,4,FALSE)="!","!","")</f>
        <v>!</v>
      </c>
    </row>
    <row r="375" spans="1:10" x14ac:dyDescent="0.2">
      <c r="A375" t="s">
        <v>168</v>
      </c>
      <c r="B375">
        <v>1009</v>
      </c>
      <c r="C375">
        <v>5813</v>
      </c>
      <c r="D375" t="str">
        <f>VLOOKUP(B375,[1]ManipulationPage!$A$3:$D$541,4,FALSE)</f>
        <v>Stew</v>
      </c>
      <c r="E375" t="str">
        <f>IF(VLOOKUP(B375,DishNotes!$B$2:$E$573,4,FALSE)="!","!","")</f>
        <v>!</v>
      </c>
    </row>
    <row r="376" spans="1:10" x14ac:dyDescent="0.2">
      <c r="A376" t="s">
        <v>192</v>
      </c>
      <c r="B376">
        <v>132</v>
      </c>
      <c r="C376">
        <v>1678</v>
      </c>
      <c r="D376" t="str">
        <f>VLOOKUP(B376,[1]ManipulationPage!$A$3:$D$541,4,FALSE)</f>
        <v>Stew</v>
      </c>
      <c r="E376" t="str">
        <f>IF(VLOOKUP(B376,DishNotes!$B$2:$E$573,4,FALSE)="!","!","")</f>
        <v>!</v>
      </c>
      <c r="F376" t="s">
        <v>1026</v>
      </c>
      <c r="G376" t="s">
        <v>1026</v>
      </c>
      <c r="H376" t="s">
        <v>1027</v>
      </c>
      <c r="J376" t="s">
        <v>1028</v>
      </c>
    </row>
    <row r="377" spans="1:10" x14ac:dyDescent="0.2">
      <c r="A377" t="s">
        <v>226</v>
      </c>
      <c r="B377">
        <v>1010</v>
      </c>
      <c r="C377">
        <v>5819</v>
      </c>
      <c r="D377" t="str">
        <f>VLOOKUP(B377,[1]ManipulationPage!$A$3:$D$541,4,FALSE)</f>
        <v>Stew</v>
      </c>
      <c r="E377" t="str">
        <f>IF(VLOOKUP(B377,DishNotes!$B$2:$E$573,4,FALSE)="!","!","")</f>
        <v>!</v>
      </c>
    </row>
    <row r="378" spans="1:10" x14ac:dyDescent="0.2">
      <c r="A378" t="s">
        <v>479</v>
      </c>
      <c r="B378">
        <v>1004</v>
      </c>
      <c r="C378">
        <v>5743</v>
      </c>
      <c r="D378" t="str">
        <f>VLOOKUP(B378,[1]ManipulationPage!$A$3:$D$541,4,FALSE)</f>
        <v>Stew</v>
      </c>
      <c r="E378" t="str">
        <f>IF(VLOOKUP(B378,DishNotes!$B$2:$E$573,4,FALSE)="!","!","")</f>
        <v>!</v>
      </c>
    </row>
    <row r="379" spans="1:10" x14ac:dyDescent="0.2">
      <c r="A379" t="s">
        <v>557</v>
      </c>
      <c r="B379">
        <v>1007</v>
      </c>
      <c r="C379">
        <v>5777</v>
      </c>
      <c r="D379" t="str">
        <f>VLOOKUP(B379,[1]ManipulationPage!$A$3:$D$541,4,FALSE)</f>
        <v>Stew</v>
      </c>
      <c r="E379" t="str">
        <f>IF(VLOOKUP(B379,DishNotes!$B$2:$E$573,4,FALSE)="!","!","")</f>
        <v>!</v>
      </c>
    </row>
    <row r="380" spans="1:10" x14ac:dyDescent="0.2">
      <c r="A380" t="s">
        <v>631</v>
      </c>
      <c r="B380">
        <v>1008</v>
      </c>
      <c r="C380">
        <v>5783</v>
      </c>
      <c r="D380" t="str">
        <f>VLOOKUP(B380,[1]ManipulationPage!$A$3:$D$541,4,FALSE)</f>
        <v>Stew</v>
      </c>
      <c r="E380" t="str">
        <f>IF(VLOOKUP(B380,DishNotes!$B$2:$E$573,4,FALSE)="!","!","")</f>
        <v>!</v>
      </c>
    </row>
    <row r="381" spans="1:10" x14ac:dyDescent="0.2">
      <c r="A381" t="s">
        <v>639</v>
      </c>
      <c r="B381">
        <v>1006</v>
      </c>
      <c r="C381">
        <v>5763</v>
      </c>
      <c r="D381" t="str">
        <f>VLOOKUP(B381,[1]ManipulationPage!$A$3:$D$541,4,FALSE)</f>
        <v>Stew</v>
      </c>
      <c r="E381" t="str">
        <f>IF(VLOOKUP(B381,DishNotes!$B$2:$E$573,4,FALSE)="!","!","")</f>
        <v>!</v>
      </c>
    </row>
    <row r="382" spans="1:10" x14ac:dyDescent="0.2">
      <c r="A382" t="s">
        <v>649</v>
      </c>
      <c r="B382">
        <v>1005</v>
      </c>
      <c r="C382">
        <v>5749</v>
      </c>
      <c r="D382" t="str">
        <f>VLOOKUP(B382,[1]ManipulationPage!$A$3:$D$541,4,FALSE)</f>
        <v>Stew</v>
      </c>
      <c r="E382" t="str">
        <f>IF(VLOOKUP(B382,DishNotes!$B$2:$E$573,4,FALSE)="!","!","")</f>
        <v>!</v>
      </c>
    </row>
    <row r="383" spans="1:10" x14ac:dyDescent="0.2">
      <c r="A383" t="s">
        <v>770</v>
      </c>
      <c r="B383">
        <v>88</v>
      </c>
      <c r="C383">
        <v>1402</v>
      </c>
      <c r="D383" t="str">
        <f>VLOOKUP(B383,[1]ManipulationPage!$A$3:$D$541,4,FALSE)</f>
        <v>Stew</v>
      </c>
      <c r="E383" t="str">
        <f>IF(VLOOKUP(B383,DishNotes!$B$2:$E$573,4,FALSE)="!","!","")</f>
        <v>!</v>
      </c>
      <c r="F383" t="s">
        <v>1391</v>
      </c>
      <c r="G383" t="s">
        <v>1392</v>
      </c>
      <c r="H383" t="s">
        <v>1393</v>
      </c>
      <c r="I383" t="s">
        <v>1394</v>
      </c>
      <c r="J383" t="s">
        <v>1395</v>
      </c>
    </row>
    <row r="384" spans="1:10" x14ac:dyDescent="0.2">
      <c r="A384" t="s">
        <v>801</v>
      </c>
      <c r="B384">
        <v>1003</v>
      </c>
      <c r="C384">
        <v>5725</v>
      </c>
      <c r="D384" t="str">
        <f>VLOOKUP(B384,[1]ManipulationPage!$A$3:$D$541,4,FALSE)</f>
        <v>Stew</v>
      </c>
      <c r="E384" t="str">
        <f>IF(VLOOKUP(B384,DishNotes!$B$2:$E$573,4,FALSE)="!","!","")</f>
        <v>!</v>
      </c>
    </row>
    <row r="385" spans="1:10" x14ac:dyDescent="0.2">
      <c r="A385" t="s">
        <v>884</v>
      </c>
      <c r="B385">
        <v>896</v>
      </c>
      <c r="C385">
        <v>3985</v>
      </c>
      <c r="D385" t="str">
        <f>VLOOKUP(B385,[1]ManipulationPage!$A$3:$D$541,4,FALSE)</f>
        <v>Stew</v>
      </c>
      <c r="E385" t="str">
        <f>IF(VLOOKUP(B385,DishNotes!$B$2:$E$573,4,FALSE)="!","!","")</f>
        <v>!</v>
      </c>
      <c r="F385" t="s">
        <v>1310</v>
      </c>
    </row>
    <row r="386" spans="1:10" x14ac:dyDescent="0.2">
      <c r="A386" t="s">
        <v>780</v>
      </c>
      <c r="B386">
        <v>1068</v>
      </c>
      <c r="C386">
        <v>8042</v>
      </c>
      <c r="D386" t="str">
        <f>VLOOKUP(B386,[1]ManipulationPage!$A$3:$D$541,4,FALSE)</f>
        <v>Stuffed</v>
      </c>
      <c r="E386" t="str">
        <f>IF(VLOOKUP(B386,DishNotes!$B$2:$E$573,4,FALSE)="!","!","")</f>
        <v/>
      </c>
    </row>
    <row r="387" spans="1:10" x14ac:dyDescent="0.2">
      <c r="A387" t="s">
        <v>785</v>
      </c>
      <c r="B387">
        <v>240</v>
      </c>
      <c r="C387">
        <v>2315</v>
      </c>
      <c r="D387" t="str">
        <f>VLOOKUP(B387,[1]ManipulationPage!$A$3:$D$541,4,FALSE)</f>
        <v>Stuffed</v>
      </c>
      <c r="E387" t="str">
        <f>IF(VLOOKUP(B387,DishNotes!$B$2:$E$573,4,FALSE)="!","!","")</f>
        <v/>
      </c>
      <c r="F387" t="s">
        <v>1434</v>
      </c>
      <c r="G387" t="s">
        <v>1434</v>
      </c>
      <c r="H387" t="s">
        <v>1434</v>
      </c>
    </row>
    <row r="388" spans="1:10" x14ac:dyDescent="0.2">
      <c r="A388" t="s">
        <v>786</v>
      </c>
      <c r="B388">
        <v>239</v>
      </c>
      <c r="C388">
        <v>2309</v>
      </c>
      <c r="D388" t="str">
        <f>VLOOKUP(B388,[1]ManipulationPage!$A$3:$D$541,4,FALSE)</f>
        <v>Stuffed</v>
      </c>
      <c r="E388" t="str">
        <f>IF(VLOOKUP(B388,DishNotes!$B$2:$E$573,4,FALSE)="!","!","")</f>
        <v/>
      </c>
      <c r="F388" t="s">
        <v>1435</v>
      </c>
      <c r="G388" t="s">
        <v>1436</v>
      </c>
      <c r="H388" t="s">
        <v>1437</v>
      </c>
    </row>
    <row r="389" spans="1:10" x14ac:dyDescent="0.2">
      <c r="A389" t="s">
        <v>787</v>
      </c>
      <c r="B389">
        <v>143</v>
      </c>
      <c r="C389">
        <v>1756</v>
      </c>
      <c r="D389" t="str">
        <f>VLOOKUP(B389,[1]ManipulationPage!$A$3:$D$541,4,FALSE)</f>
        <v>Stuffed</v>
      </c>
      <c r="E389" t="str">
        <f>IF(VLOOKUP(B389,DishNotes!$B$2:$E$573,4,FALSE)="!","!","")</f>
        <v/>
      </c>
      <c r="F389" t="s">
        <v>1438</v>
      </c>
      <c r="G389" t="s">
        <v>1438</v>
      </c>
      <c r="H389" t="s">
        <v>1439</v>
      </c>
      <c r="J389" t="s">
        <v>1440</v>
      </c>
    </row>
    <row r="390" spans="1:10" x14ac:dyDescent="0.2">
      <c r="A390" t="s">
        <v>499</v>
      </c>
      <c r="B390">
        <v>255</v>
      </c>
      <c r="C390">
        <v>2401</v>
      </c>
      <c r="D390" t="str">
        <f>VLOOKUP(B390,[1]ManipulationPage!$A$3:$D$541,4,FALSE)</f>
        <v>Thai</v>
      </c>
      <c r="E390" t="str">
        <f>IF(VLOOKUP(B390,DishNotes!$B$2:$E$573,4,FALSE)="!","!","")</f>
        <v>!</v>
      </c>
      <c r="F390" t="s">
        <v>1213</v>
      </c>
      <c r="G390" t="s">
        <v>1214</v>
      </c>
      <c r="H390" t="s">
        <v>1213</v>
      </c>
    </row>
    <row r="391" spans="1:10" x14ac:dyDescent="0.2">
      <c r="A391" t="s">
        <v>822</v>
      </c>
      <c r="B391">
        <v>925</v>
      </c>
      <c r="C391">
        <v>4104</v>
      </c>
      <c r="D391" t="str">
        <f>VLOOKUP(B391,[1]ManipulationPage!$A$3:$D$541,4,FALSE)</f>
        <v>Thai</v>
      </c>
      <c r="E391" t="str">
        <f>IF(VLOOKUP(B391,DishNotes!$B$2:$E$573,4,FALSE)="!","!","")</f>
        <v>!</v>
      </c>
      <c r="F391" t="s">
        <v>1464</v>
      </c>
    </row>
    <row r="392" spans="1:10" x14ac:dyDescent="0.2">
      <c r="A392" t="s">
        <v>824</v>
      </c>
      <c r="B392">
        <v>1013</v>
      </c>
      <c r="C392">
        <v>5873</v>
      </c>
      <c r="D392" t="str">
        <f>VLOOKUP(B392,[1]ManipulationPage!$A$3:$D$541,4,FALSE)</f>
        <v>Thai</v>
      </c>
      <c r="E392" t="str">
        <f>IF(VLOOKUP(B392,DishNotes!$B$2:$E$573,4,FALSE)="!","!","")</f>
        <v>!</v>
      </c>
      <c r="F392" t="s">
        <v>1465</v>
      </c>
      <c r="G392" t="s">
        <v>1466</v>
      </c>
      <c r="H392" t="s">
        <v>1467</v>
      </c>
      <c r="I392" t="s">
        <v>1468</v>
      </c>
      <c r="J392" t="s">
        <v>1469</v>
      </c>
    </row>
    <row r="393" spans="1:10" x14ac:dyDescent="0.2">
      <c r="A393" t="s">
        <v>830</v>
      </c>
      <c r="B393">
        <v>947</v>
      </c>
      <c r="D393" t="str">
        <f>VLOOKUP(B393,[1]ManipulationPage!$A$3:$D$541,4,FALSE)</f>
        <v>Thai</v>
      </c>
      <c r="E393" t="str">
        <f>IF(VLOOKUP(B393,DishNotes!$B$2:$E$573,4,FALSE)="!","!","")</f>
        <v>!</v>
      </c>
    </row>
    <row r="394" spans="1:10" x14ac:dyDescent="0.2">
      <c r="A394" t="s">
        <v>831</v>
      </c>
      <c r="B394">
        <v>325</v>
      </c>
      <c r="C394">
        <v>2743</v>
      </c>
      <c r="D394" t="str">
        <f>VLOOKUP(B394,[1]ManipulationPage!$A$3:$D$541,4,FALSE)</f>
        <v>Thai</v>
      </c>
      <c r="E394" t="str">
        <f>IF(VLOOKUP(B394,DishNotes!$B$2:$E$573,4,FALSE)="!","!","")</f>
        <v>!</v>
      </c>
      <c r="F394" t="s">
        <v>1470</v>
      </c>
      <c r="G394" t="s">
        <v>1470</v>
      </c>
      <c r="H394" t="s">
        <v>1470</v>
      </c>
    </row>
    <row r="395" spans="1:10" x14ac:dyDescent="0.2">
      <c r="A395" t="s">
        <v>871</v>
      </c>
      <c r="B395">
        <v>912</v>
      </c>
      <c r="C395">
        <v>4046</v>
      </c>
      <c r="D395" t="str">
        <f>VLOOKUP(B395,[1]ManipulationPage!$A$3:$D$541,4,FALSE)</f>
        <v>Thai</v>
      </c>
      <c r="E395" t="str">
        <f>IF(VLOOKUP(B395,DishNotes!$B$2:$E$573,4,FALSE)="!","!","")</f>
        <v>!</v>
      </c>
      <c r="F395" t="s">
        <v>1495</v>
      </c>
    </row>
    <row r="396" spans="1:10" x14ac:dyDescent="0.2">
      <c r="A396" t="s">
        <v>888</v>
      </c>
      <c r="B396">
        <v>257</v>
      </c>
      <c r="C396">
        <v>2415</v>
      </c>
      <c r="D396" t="str">
        <f>VLOOKUP(B396,[1]ManipulationPage!$A$3:$D$541,4,FALSE)</f>
        <v>Thai</v>
      </c>
      <c r="E396" t="str">
        <f>IF(VLOOKUP(B396,DishNotes!$B$2:$E$573,4,FALSE)="!","!","")</f>
        <v>!</v>
      </c>
      <c r="F396" t="s">
        <v>1508</v>
      </c>
      <c r="G396" t="s">
        <v>1509</v>
      </c>
      <c r="H396" t="s">
        <v>1508</v>
      </c>
      <c r="J396" t="s">
        <v>1510</v>
      </c>
    </row>
    <row r="397" spans="1:10" x14ac:dyDescent="0.2">
      <c r="A397" t="s">
        <v>96</v>
      </c>
      <c r="B397">
        <v>965</v>
      </c>
      <c r="C397">
        <v>5015</v>
      </c>
      <c r="D397" t="str">
        <f>VLOOKUP(B397,[1]ManipulationPage!$A$3:$D$541,4,FALSE)</f>
        <v>wok</v>
      </c>
      <c r="E397" t="str">
        <f>IF(VLOOKUP(B397,DishNotes!$B$2:$E$573,4,FALSE)="!","!","")</f>
        <v>!</v>
      </c>
    </row>
    <row r="398" spans="1:10" x14ac:dyDescent="0.2">
      <c r="A398" t="s">
        <v>134</v>
      </c>
      <c r="B398">
        <v>966</v>
      </c>
      <c r="C398">
        <v>5021</v>
      </c>
      <c r="D398" t="str">
        <f>VLOOKUP(B398,[1]ManipulationPage!$A$3:$D$541,4,FALSE)</f>
        <v>Wok</v>
      </c>
      <c r="E398" t="str">
        <f>IF(VLOOKUP(B398,DishNotes!$B$2:$E$573,4,FALSE)="!","!","")</f>
        <v>!</v>
      </c>
    </row>
    <row r="399" spans="1:10" x14ac:dyDescent="0.2">
      <c r="A399" t="s">
        <v>139</v>
      </c>
      <c r="B399">
        <v>243</v>
      </c>
      <c r="C399">
        <v>2333</v>
      </c>
      <c r="D399" t="str">
        <f>VLOOKUP(B399,[1]ManipulationPage!$A$3:$D$541,4,FALSE)</f>
        <v>wok</v>
      </c>
      <c r="E399" t="str">
        <f>IF(VLOOKUP(B399,DishNotes!$B$2:$E$573,4,FALSE)="!","!","")</f>
        <v>!</v>
      </c>
      <c r="F399" t="s">
        <v>992</v>
      </c>
      <c r="G399" t="s">
        <v>993</v>
      </c>
      <c r="H399" t="s">
        <v>994</v>
      </c>
    </row>
    <row r="400" spans="1:10" x14ac:dyDescent="0.2">
      <c r="A400" t="s">
        <v>196</v>
      </c>
      <c r="B400">
        <v>242</v>
      </c>
      <c r="C400">
        <v>2329</v>
      </c>
      <c r="D400" t="str">
        <f>VLOOKUP(B400,[1]ManipulationPage!$A$3:$D$541,4,FALSE)</f>
        <v>wok</v>
      </c>
      <c r="E400" t="str">
        <f>IF(VLOOKUP(B400,DishNotes!$B$2:$E$573,4,FALSE)="!","!","")</f>
        <v>!</v>
      </c>
      <c r="F400" t="s">
        <v>1032</v>
      </c>
      <c r="G400" t="s">
        <v>1033</v>
      </c>
      <c r="H400" t="s">
        <v>1034</v>
      </c>
    </row>
    <row r="401" spans="1:10" x14ac:dyDescent="0.2">
      <c r="A401" t="s">
        <v>383</v>
      </c>
      <c r="B401">
        <v>209</v>
      </c>
      <c r="C401">
        <v>2135</v>
      </c>
      <c r="D401" t="str">
        <f>VLOOKUP(B401,[1]ManipulationPage!$A$3:$D$541,4,FALSE)</f>
        <v>wok</v>
      </c>
      <c r="E401" t="str">
        <f>IF(VLOOKUP(B401,DishNotes!$B$2:$E$573,4,FALSE)="!","!","")</f>
        <v>!</v>
      </c>
      <c r="F401" t="s">
        <v>1148</v>
      </c>
      <c r="G401" t="s">
        <v>1149</v>
      </c>
      <c r="H401" t="s">
        <v>1148</v>
      </c>
    </row>
    <row r="402" spans="1:10" x14ac:dyDescent="0.2">
      <c r="A402" t="s">
        <v>430</v>
      </c>
      <c r="B402">
        <v>964</v>
      </c>
      <c r="C402">
        <v>5009</v>
      </c>
      <c r="D402" t="str">
        <f>VLOOKUP(B402,[1]ManipulationPage!$A$3:$D$541,4,FALSE)</f>
        <v>wok</v>
      </c>
      <c r="E402" t="str">
        <f>IF(VLOOKUP(B402,DishNotes!$B$2:$E$573,4,FALSE)="!","!","")</f>
        <v>!</v>
      </c>
    </row>
    <row r="403" spans="1:10" x14ac:dyDescent="0.2">
      <c r="A403" t="s">
        <v>550</v>
      </c>
      <c r="B403">
        <v>342</v>
      </c>
      <c r="C403">
        <v>2807</v>
      </c>
      <c r="D403" t="str">
        <f>VLOOKUP(B403,[1]ManipulationPage!$A$3:$D$541,4,FALSE)</f>
        <v>wok</v>
      </c>
      <c r="E403" t="str">
        <f>IF(VLOOKUP(B403,DishNotes!$B$2:$E$573,4,FALSE)="!","!","")</f>
        <v>!</v>
      </c>
      <c r="F403" t="s">
        <v>1258</v>
      </c>
      <c r="G403" t="s">
        <v>1258</v>
      </c>
      <c r="H403" t="s">
        <v>1259</v>
      </c>
    </row>
    <row r="404" spans="1:10" x14ac:dyDescent="0.2">
      <c r="A404" t="s">
        <v>558</v>
      </c>
      <c r="B404">
        <v>968</v>
      </c>
      <c r="C404">
        <v>5065</v>
      </c>
      <c r="D404" t="str">
        <f>VLOOKUP(B404,[1]ManipulationPage!$A$3:$D$541,4,FALSE)</f>
        <v>wok</v>
      </c>
      <c r="E404" t="str">
        <f>IF(VLOOKUP(B404,DishNotes!$B$2:$E$573,4,FALSE)="!","!","")</f>
        <v>!</v>
      </c>
    </row>
    <row r="405" spans="1:10" x14ac:dyDescent="0.2">
      <c r="A405" t="s">
        <v>599</v>
      </c>
      <c r="B405">
        <v>75</v>
      </c>
      <c r="C405">
        <v>1378</v>
      </c>
      <c r="D405" t="str">
        <f>VLOOKUP(B405,[1]ManipulationPage!$A$3:$D$541,4,FALSE)</f>
        <v>wok</v>
      </c>
      <c r="E405" t="str">
        <f>IF(VLOOKUP(B405,DishNotes!$B$2:$E$573,4,FALSE)="!","!","")</f>
        <v>!</v>
      </c>
      <c r="F405" t="s">
        <v>1296</v>
      </c>
    </row>
    <row r="406" spans="1:10" x14ac:dyDescent="0.2">
      <c r="A406" t="s">
        <v>678</v>
      </c>
      <c r="B406">
        <v>282</v>
      </c>
      <c r="C406">
        <v>2561</v>
      </c>
      <c r="D406" t="str">
        <f>VLOOKUP(B406,[1]ManipulationPage!$A$3:$D$541,4,FALSE)</f>
        <v>wok</v>
      </c>
      <c r="E406" t="str">
        <f>IF(VLOOKUP(B406,DishNotes!$B$2:$E$573,4,FALSE)="!","!","")</f>
        <v>!</v>
      </c>
      <c r="F406" t="s">
        <v>1362</v>
      </c>
      <c r="G406" t="s">
        <v>1362</v>
      </c>
      <c r="H406" t="s">
        <v>1362</v>
      </c>
    </row>
    <row r="407" spans="1:10" x14ac:dyDescent="0.2">
      <c r="A407" t="s">
        <v>765</v>
      </c>
      <c r="B407">
        <v>58</v>
      </c>
      <c r="C407">
        <v>1272</v>
      </c>
      <c r="D407" t="str">
        <f>VLOOKUP(B407,[1]ManipulationPage!$A$3:$D$541,4,FALSE)</f>
        <v>wok</v>
      </c>
      <c r="E407" t="str">
        <f>IF(VLOOKUP(B407,DishNotes!$B$2:$E$573,4,FALSE)="!","!","")</f>
        <v>!</v>
      </c>
      <c r="F407" t="s">
        <v>1421</v>
      </c>
      <c r="G407" t="s">
        <v>1422</v>
      </c>
      <c r="H407" t="s">
        <v>1423</v>
      </c>
    </row>
    <row r="408" spans="1:10" x14ac:dyDescent="0.2">
      <c r="A408" t="s">
        <v>771</v>
      </c>
      <c r="B408">
        <v>208</v>
      </c>
      <c r="C408">
        <v>2129</v>
      </c>
      <c r="D408" t="str">
        <f>VLOOKUP(B408,[1]ManipulationPage!$A$3:$D$541,4,FALSE)</f>
        <v>wok</v>
      </c>
      <c r="E408" t="str">
        <f>IF(VLOOKUP(B408,DishNotes!$B$2:$E$573,4,FALSE)="!","!","")</f>
        <v>!</v>
      </c>
      <c r="F408" t="s">
        <v>1424</v>
      </c>
      <c r="G408" t="s">
        <v>1425</v>
      </c>
      <c r="H408" t="s">
        <v>1424</v>
      </c>
    </row>
    <row r="409" spans="1:10" x14ac:dyDescent="0.2">
      <c r="A409" t="s">
        <v>772</v>
      </c>
      <c r="B409">
        <v>71</v>
      </c>
      <c r="C409">
        <v>1352</v>
      </c>
      <c r="D409" t="str">
        <f>VLOOKUP(B409,[1]ManipulationPage!$A$3:$D$541,4,FALSE)</f>
        <v>wok</v>
      </c>
      <c r="E409" t="str">
        <f>IF(VLOOKUP(B409,DishNotes!$B$2:$E$573,4,FALSE)="!","!","")</f>
        <v>!</v>
      </c>
      <c r="F409" t="s">
        <v>1426</v>
      </c>
      <c r="G409" t="s">
        <v>1427</v>
      </c>
      <c r="H409" t="s">
        <v>1428</v>
      </c>
      <c r="I409" t="s">
        <v>1429</v>
      </c>
      <c r="J409" t="s">
        <v>1430</v>
      </c>
    </row>
    <row r="410" spans="1:10" x14ac:dyDescent="0.2">
      <c r="A410" t="s">
        <v>802</v>
      </c>
      <c r="B410">
        <v>256</v>
      </c>
      <c r="C410">
        <v>2407</v>
      </c>
      <c r="D410" t="str">
        <f>VLOOKUP(B410,[1]ManipulationPage!$A$3:$D$541,4,FALSE)</f>
        <v>wok</v>
      </c>
      <c r="E410" t="str">
        <f>IF(VLOOKUP(B410,DishNotes!$B$2:$E$573,4,FALSE)="!","!","")</f>
        <v>!</v>
      </c>
      <c r="F410" t="s">
        <v>1450</v>
      </c>
      <c r="G410" t="s">
        <v>1451</v>
      </c>
      <c r="H410" t="s">
        <v>1452</v>
      </c>
    </row>
    <row r="411" spans="1:10" x14ac:dyDescent="0.2">
      <c r="A411" t="s">
        <v>12</v>
      </c>
      <c r="B411">
        <v>174</v>
      </c>
      <c r="C411">
        <v>1923</v>
      </c>
      <c r="D411" t="str">
        <f>VLOOKUP(B411,[1]ManipulationPage!$A$3:$D$541,4,FALSE)</f>
        <v>zzz</v>
      </c>
      <c r="E411" t="str">
        <f>IF(VLOOKUP(B411,DishNotes!$B$2:$E$573,4,FALSE)="!","!","")</f>
        <v/>
      </c>
      <c r="F411" t="s">
        <v>908</v>
      </c>
      <c r="G411" t="s">
        <v>908</v>
      </c>
      <c r="H411" t="s">
        <v>909</v>
      </c>
    </row>
    <row r="412" spans="1:10" x14ac:dyDescent="0.2">
      <c r="A412" t="s">
        <v>26</v>
      </c>
      <c r="B412">
        <v>954</v>
      </c>
      <c r="C412">
        <v>4823</v>
      </c>
      <c r="D412" t="str">
        <f>VLOOKUP(B412,[1]ManipulationPage!$A$3:$D$541,4,FALSE)</f>
        <v>zzz</v>
      </c>
      <c r="E412" t="str">
        <f>IF(VLOOKUP(B412,DishNotes!$B$2:$E$573,4,FALSE)="!","!","")</f>
        <v/>
      </c>
      <c r="F412" t="s">
        <v>913</v>
      </c>
      <c r="G412" t="s">
        <v>914</v>
      </c>
      <c r="H412" t="s">
        <v>915</v>
      </c>
      <c r="I412" t="s">
        <v>916</v>
      </c>
      <c r="J412" t="s">
        <v>917</v>
      </c>
    </row>
    <row r="413" spans="1:10" x14ac:dyDescent="0.2">
      <c r="A413" t="s">
        <v>33</v>
      </c>
      <c r="B413">
        <v>171</v>
      </c>
      <c r="C413">
        <v>1905</v>
      </c>
      <c r="D413" t="str">
        <f>VLOOKUP(B413,[1]ManipulationPage!$A$3:$D$541,4,FALSE)</f>
        <v>zzz</v>
      </c>
      <c r="E413" t="str">
        <f>IF(VLOOKUP(B413,DishNotes!$B$2:$E$573,4,FALSE)="!","!","")</f>
        <v/>
      </c>
      <c r="F413" t="s">
        <v>920</v>
      </c>
      <c r="G413" t="s">
        <v>921</v>
      </c>
      <c r="H413" t="s">
        <v>922</v>
      </c>
    </row>
    <row r="414" spans="1:10" x14ac:dyDescent="0.2">
      <c r="A414" t="s">
        <v>37</v>
      </c>
      <c r="B414">
        <v>451</v>
      </c>
      <c r="C414">
        <v>3070</v>
      </c>
      <c r="D414" t="str">
        <f>VLOOKUP(B414,[1]ManipulationPage!$A$3:$D$541,4,FALSE)</f>
        <v>zzz</v>
      </c>
      <c r="E414" t="str">
        <f>IF(VLOOKUP(B414,DishNotes!$B$2:$E$573,4,FALSE)="!","!","")</f>
        <v/>
      </c>
      <c r="F414" t="s">
        <v>923</v>
      </c>
      <c r="G414" t="s">
        <v>924</v>
      </c>
      <c r="H414" t="s">
        <v>923</v>
      </c>
    </row>
    <row r="415" spans="1:10" x14ac:dyDescent="0.2">
      <c r="A415" t="s">
        <v>50</v>
      </c>
      <c r="B415">
        <v>589</v>
      </c>
      <c r="C415">
        <v>3276</v>
      </c>
      <c r="D415" t="str">
        <f>VLOOKUP(B415,[1]ManipulationPage!$A$3:$D$541,4,FALSE)</f>
        <v>zzz</v>
      </c>
      <c r="E415" t="str">
        <f>IF(VLOOKUP(B415,DishNotes!$B$2:$E$573,4,FALSE)="!","!","")</f>
        <v/>
      </c>
      <c r="F415" t="s">
        <v>931</v>
      </c>
    </row>
    <row r="416" spans="1:10" x14ac:dyDescent="0.2">
      <c r="A416" t="s">
        <v>51</v>
      </c>
      <c r="B416">
        <v>599</v>
      </c>
      <c r="D416" t="str">
        <f>VLOOKUP(B416,[1]ManipulationPage!$A$3:$D$541,4,FALSE)</f>
        <v>zzz</v>
      </c>
      <c r="E416" t="str">
        <f>IF(VLOOKUP(B416,DishNotes!$B$2:$E$573,4,FALSE)="!","!","")</f>
        <v/>
      </c>
    </row>
    <row r="417" spans="1:10" x14ac:dyDescent="0.2">
      <c r="A417" t="s">
        <v>56</v>
      </c>
      <c r="B417">
        <v>216</v>
      </c>
      <c r="C417">
        <v>2179</v>
      </c>
      <c r="D417" t="str">
        <f>VLOOKUP(B417,[1]ManipulationPage!$A$3:$D$541,4,FALSE)</f>
        <v>zzz</v>
      </c>
      <c r="E417" t="str">
        <f>IF(VLOOKUP(B417,DishNotes!$B$2:$E$573,4,FALSE)="!","!","")</f>
        <v/>
      </c>
      <c r="F417" t="s">
        <v>934</v>
      </c>
      <c r="G417" t="s">
        <v>935</v>
      </c>
      <c r="H417" t="s">
        <v>936</v>
      </c>
    </row>
    <row r="418" spans="1:10" x14ac:dyDescent="0.2">
      <c r="A418" t="s">
        <v>64</v>
      </c>
      <c r="B418">
        <v>1064</v>
      </c>
      <c r="C418">
        <v>7994</v>
      </c>
      <c r="D418" t="str">
        <f>VLOOKUP(B418,[1]ManipulationPage!$A$3:$D$541,4,FALSE)</f>
        <v>zzz</v>
      </c>
      <c r="E418" t="str">
        <f>IF(VLOOKUP(B418,DishNotes!$B$2:$E$573,4,FALSE)="!","!","")</f>
        <v/>
      </c>
    </row>
    <row r="419" spans="1:10" x14ac:dyDescent="0.2">
      <c r="A419" t="s">
        <v>65</v>
      </c>
      <c r="B419">
        <v>98</v>
      </c>
      <c r="C419">
        <v>1458</v>
      </c>
      <c r="D419" t="str">
        <f>VLOOKUP(B419,[1]ManipulationPage!$A$3:$D$541,4,FALSE)</f>
        <v>zzz</v>
      </c>
      <c r="E419" t="str">
        <f>IF(VLOOKUP(B419,DishNotes!$B$2:$E$573,4,FALSE)="!","!","")</f>
        <v/>
      </c>
      <c r="F419" t="s">
        <v>938</v>
      </c>
      <c r="G419" t="s">
        <v>939</v>
      </c>
      <c r="H419" t="s">
        <v>940</v>
      </c>
    </row>
    <row r="420" spans="1:10" x14ac:dyDescent="0.2">
      <c r="A420" t="s">
        <v>65</v>
      </c>
      <c r="B420">
        <v>1095</v>
      </c>
      <c r="C420">
        <v>9318</v>
      </c>
      <c r="D420" t="str">
        <f>VLOOKUP(B420,[1]ManipulationPage!$A$3:$D$541,4,FALSE)</f>
        <v>zzz</v>
      </c>
      <c r="E420" t="str">
        <f>IF(VLOOKUP(B420,DishNotes!$B$2:$E$573,4,FALSE)="!","!","")</f>
        <v/>
      </c>
      <c r="F420" t="s">
        <v>938</v>
      </c>
      <c r="G420" t="s">
        <v>939</v>
      </c>
      <c r="H420" t="s">
        <v>940</v>
      </c>
    </row>
    <row r="421" spans="1:10" x14ac:dyDescent="0.2">
      <c r="A421" t="s">
        <v>78</v>
      </c>
      <c r="B421">
        <v>192</v>
      </c>
      <c r="C421">
        <v>2025</v>
      </c>
      <c r="D421" t="str">
        <f>VLOOKUP(B421,[1]ManipulationPage!$A$3:$D$541,4,FALSE)</f>
        <v>zzz</v>
      </c>
      <c r="E421" t="str">
        <f>IF(VLOOKUP(B421,DishNotes!$B$2:$E$573,4,FALSE)="!","!","")</f>
        <v/>
      </c>
      <c r="F421" t="s">
        <v>949</v>
      </c>
      <c r="G421" t="s">
        <v>950</v>
      </c>
      <c r="H421" t="s">
        <v>951</v>
      </c>
    </row>
    <row r="422" spans="1:10" x14ac:dyDescent="0.2">
      <c r="A422" t="s">
        <v>118</v>
      </c>
      <c r="B422">
        <v>217</v>
      </c>
      <c r="C422">
        <v>2185</v>
      </c>
      <c r="D422" t="str">
        <f>VLOOKUP(B422,[1]ManipulationPage!$A$3:$D$541,4,FALSE)</f>
        <v>zzz</v>
      </c>
      <c r="E422" t="str">
        <f>IF(VLOOKUP(B422,DishNotes!$B$2:$E$573,4,FALSE)="!","!","")</f>
        <v/>
      </c>
      <c r="F422" t="s">
        <v>974</v>
      </c>
      <c r="G422" t="s">
        <v>975</v>
      </c>
      <c r="H422" t="s">
        <v>976</v>
      </c>
    </row>
    <row r="423" spans="1:10" x14ac:dyDescent="0.2">
      <c r="A423" t="s">
        <v>132</v>
      </c>
      <c r="B423">
        <v>519</v>
      </c>
      <c r="C423">
        <v>3195</v>
      </c>
      <c r="D423" t="str">
        <f>VLOOKUP(B423,[1]ManipulationPage!$A$3:$D$541,4,FALSE)</f>
        <v>zzz</v>
      </c>
      <c r="E423" t="str">
        <f>IF(VLOOKUP(B423,DishNotes!$B$2:$E$573,4,FALSE)="!","!","")</f>
        <v/>
      </c>
      <c r="F423" t="s">
        <v>133</v>
      </c>
      <c r="G423" t="s">
        <v>133</v>
      </c>
      <c r="H423" t="s">
        <v>133</v>
      </c>
    </row>
    <row r="424" spans="1:10" x14ac:dyDescent="0.2">
      <c r="A424" t="s">
        <v>136</v>
      </c>
      <c r="B424">
        <v>955</v>
      </c>
      <c r="C424">
        <v>4834</v>
      </c>
      <c r="D424" t="str">
        <f>VLOOKUP(B424,[1]ManipulationPage!$A$3:$D$541,4,FALSE)</f>
        <v>zzz</v>
      </c>
      <c r="E424" t="str">
        <f>IF(VLOOKUP(B424,DishNotes!$B$2:$E$573,4,FALSE)="!","!","")</f>
        <v/>
      </c>
      <c r="F424" t="s">
        <v>985</v>
      </c>
      <c r="G424" t="s">
        <v>986</v>
      </c>
      <c r="H424" t="s">
        <v>987</v>
      </c>
      <c r="I424" t="s">
        <v>988</v>
      </c>
      <c r="J424" t="s">
        <v>989</v>
      </c>
    </row>
    <row r="425" spans="1:10" x14ac:dyDescent="0.2">
      <c r="A425" t="s">
        <v>138</v>
      </c>
      <c r="B425">
        <v>223</v>
      </c>
      <c r="C425">
        <v>2221</v>
      </c>
      <c r="D425" t="str">
        <f>VLOOKUP(B425,[1]ManipulationPage!$A$3:$D$541,4,FALSE)</f>
        <v>zzz</v>
      </c>
      <c r="E425" t="str">
        <f>IF(VLOOKUP(B425,DishNotes!$B$2:$E$573,4,FALSE)="!","!","")</f>
        <v/>
      </c>
      <c r="F425" t="s">
        <v>990</v>
      </c>
      <c r="G425" t="s">
        <v>990</v>
      </c>
      <c r="H425" t="s">
        <v>991</v>
      </c>
    </row>
    <row r="426" spans="1:10" x14ac:dyDescent="0.2">
      <c r="A426" t="s">
        <v>144</v>
      </c>
      <c r="B426">
        <v>568</v>
      </c>
      <c r="C426">
        <v>3244</v>
      </c>
      <c r="D426" t="str">
        <f>VLOOKUP(B426,[1]ManipulationPage!$A$3:$D$541,4,FALSE)</f>
        <v>zzz</v>
      </c>
      <c r="E426" t="str">
        <f>IF(VLOOKUP(B426,DishNotes!$B$2:$E$573,4,FALSE)="!","!","")</f>
        <v/>
      </c>
      <c r="F426" t="s">
        <v>995</v>
      </c>
    </row>
    <row r="427" spans="1:10" x14ac:dyDescent="0.2">
      <c r="A427" t="s">
        <v>153</v>
      </c>
      <c r="B427">
        <v>779</v>
      </c>
      <c r="C427">
        <v>3729</v>
      </c>
      <c r="D427" t="str">
        <f>VLOOKUP(B427,[1]ManipulationPage!$A$3:$D$541,4,FALSE)</f>
        <v>zzz</v>
      </c>
      <c r="E427" t="str">
        <f>IF(VLOOKUP(B427,DishNotes!$B$2:$E$573,4,FALSE)="!","!","")</f>
        <v/>
      </c>
    </row>
    <row r="428" spans="1:10" x14ac:dyDescent="0.2">
      <c r="A428" t="s">
        <v>154</v>
      </c>
      <c r="B428">
        <v>1015</v>
      </c>
      <c r="C428">
        <v>5923</v>
      </c>
      <c r="D428" t="str">
        <f>VLOOKUP(B428,[1]ManipulationPage!$A$3:$D$541,4,FALSE)</f>
        <v>zzz</v>
      </c>
      <c r="E428" t="str">
        <f>IF(VLOOKUP(B428,DishNotes!$B$2:$E$573,4,FALSE)="!","!","")</f>
        <v/>
      </c>
    </row>
    <row r="429" spans="1:10" x14ac:dyDescent="0.2">
      <c r="A429" t="s">
        <v>160</v>
      </c>
      <c r="B429">
        <v>369</v>
      </c>
      <c r="C429">
        <v>2877</v>
      </c>
      <c r="D429" t="str">
        <f>VLOOKUP(B429,[1]ManipulationPage!$A$3:$D$541,4,FALSE)</f>
        <v>zzz</v>
      </c>
      <c r="E429" t="str">
        <f>IF(VLOOKUP(B429,DishNotes!$B$2:$E$573,4,FALSE)="!","!","")</f>
        <v/>
      </c>
      <c r="F429" t="s">
        <v>1004</v>
      </c>
      <c r="G429" t="s">
        <v>1005</v>
      </c>
      <c r="H429" t="s">
        <v>1006</v>
      </c>
    </row>
    <row r="430" spans="1:10" x14ac:dyDescent="0.2">
      <c r="A430" t="s">
        <v>182</v>
      </c>
      <c r="B430">
        <v>1052</v>
      </c>
      <c r="C430">
        <v>7275</v>
      </c>
      <c r="D430" t="str">
        <f>VLOOKUP(B430,[1]ManipulationPage!$A$3:$D$541,4,FALSE)</f>
        <v>zzz</v>
      </c>
      <c r="E430" t="str">
        <f>IF(VLOOKUP(B430,DishNotes!$B$2:$E$573,4,FALSE)="!","!","")</f>
        <v/>
      </c>
    </row>
    <row r="431" spans="1:10" x14ac:dyDescent="0.2">
      <c r="A431" t="s">
        <v>191</v>
      </c>
      <c r="B431">
        <v>198</v>
      </c>
      <c r="C431">
        <v>2063</v>
      </c>
      <c r="D431" t="str">
        <f>VLOOKUP(B431,[1]ManipulationPage!$A$3:$D$541,4,FALSE)</f>
        <v>zzz</v>
      </c>
      <c r="E431" t="str">
        <f>IF(VLOOKUP(B431,DishNotes!$B$2:$E$573,4,FALSE)="!","!","")</f>
        <v/>
      </c>
      <c r="F431" t="s">
        <v>1023</v>
      </c>
      <c r="G431" t="s">
        <v>1024</v>
      </c>
      <c r="H431" t="s">
        <v>1025</v>
      </c>
    </row>
    <row r="432" spans="1:10" x14ac:dyDescent="0.2">
      <c r="A432" t="s">
        <v>194</v>
      </c>
      <c r="B432">
        <v>200</v>
      </c>
      <c r="C432">
        <v>2079</v>
      </c>
      <c r="D432" t="str">
        <f>VLOOKUP(B432,[1]ManipulationPage!$A$3:$D$541,4,FALSE)</f>
        <v>zzz</v>
      </c>
      <c r="E432" t="str">
        <f>IF(VLOOKUP(B432,DishNotes!$B$2:$E$573,4,FALSE)="!","!","")</f>
        <v/>
      </c>
      <c r="F432" t="s">
        <v>1029</v>
      </c>
      <c r="G432" t="s">
        <v>1030</v>
      </c>
      <c r="H432" t="s">
        <v>1031</v>
      </c>
    </row>
    <row r="433" spans="1:10" x14ac:dyDescent="0.2">
      <c r="A433" t="s">
        <v>195</v>
      </c>
      <c r="B433">
        <v>956</v>
      </c>
      <c r="C433">
        <v>4848</v>
      </c>
      <c r="D433" t="str">
        <f>VLOOKUP(B433,[1]ManipulationPage!$A$3:$D$541,4,FALSE)</f>
        <v>zzz</v>
      </c>
      <c r="E433" t="str">
        <f>IF(VLOOKUP(B433,DishNotes!$B$2:$E$573,4,FALSE)="!","!","")</f>
        <v/>
      </c>
      <c r="F433" t="s">
        <v>985</v>
      </c>
      <c r="G433" t="s">
        <v>986</v>
      </c>
      <c r="H433" t="s">
        <v>987</v>
      </c>
      <c r="I433" t="s">
        <v>988</v>
      </c>
      <c r="J433" t="s">
        <v>989</v>
      </c>
    </row>
    <row r="434" spans="1:10" x14ac:dyDescent="0.2">
      <c r="A434" t="s">
        <v>197</v>
      </c>
      <c r="B434">
        <v>772</v>
      </c>
      <c r="C434">
        <v>3715</v>
      </c>
      <c r="D434" t="str">
        <f>VLOOKUP(B434,[1]ManipulationPage!$A$3:$D$541,4,FALSE)</f>
        <v>zzz</v>
      </c>
      <c r="E434" t="str">
        <f>IF(VLOOKUP(B434,DishNotes!$B$2:$E$573,4,FALSE)="!","!","")</f>
        <v/>
      </c>
    </row>
    <row r="435" spans="1:10" x14ac:dyDescent="0.2">
      <c r="A435" t="s">
        <v>202</v>
      </c>
      <c r="B435">
        <v>598</v>
      </c>
      <c r="C435">
        <v>3286</v>
      </c>
      <c r="D435" t="str">
        <f>VLOOKUP(B435,[1]ManipulationPage!$A$3:$D$541,4,FALSE)</f>
        <v>zzz</v>
      </c>
      <c r="E435" t="str">
        <f>IF(VLOOKUP(B435,DishNotes!$B$2:$E$573,4,FALSE)="!","!","")</f>
        <v/>
      </c>
      <c r="F435" t="s">
        <v>1038</v>
      </c>
    </row>
    <row r="436" spans="1:10" x14ac:dyDescent="0.2">
      <c r="A436" t="s">
        <v>208</v>
      </c>
      <c r="B436">
        <v>1000</v>
      </c>
      <c r="C436">
        <v>5619</v>
      </c>
      <c r="D436" t="str">
        <f>VLOOKUP(B436,[1]ManipulationPage!$A$3:$D$541,4,FALSE)</f>
        <v>zzz</v>
      </c>
      <c r="E436" t="str">
        <f>IF(VLOOKUP(B436,DishNotes!$B$2:$E$573,4,FALSE)="!","!","")</f>
        <v/>
      </c>
    </row>
    <row r="437" spans="1:10" x14ac:dyDescent="0.2">
      <c r="A437" t="s">
        <v>211</v>
      </c>
      <c r="B437">
        <v>1051</v>
      </c>
      <c r="C437">
        <v>7260</v>
      </c>
      <c r="D437" t="str">
        <f>VLOOKUP(B437,[1]ManipulationPage!$A$3:$D$541,4,FALSE)</f>
        <v>zzz</v>
      </c>
      <c r="E437" t="str">
        <f>IF(VLOOKUP(B437,DishNotes!$B$2:$E$573,4,FALSE)="!","!","")</f>
        <v/>
      </c>
    </row>
    <row r="438" spans="1:10" x14ac:dyDescent="0.2">
      <c r="A438" t="s">
        <v>212</v>
      </c>
      <c r="B438">
        <v>189</v>
      </c>
      <c r="C438">
        <v>2005</v>
      </c>
      <c r="D438" t="str">
        <f>VLOOKUP(B438,[1]ManipulationPage!$A$3:$D$541,4,FALSE)</f>
        <v>zzz</v>
      </c>
      <c r="E438" t="str">
        <f>IF(VLOOKUP(B438,DishNotes!$B$2:$E$573,4,FALSE)="!","!","")</f>
        <v/>
      </c>
      <c r="F438" t="s">
        <v>1042</v>
      </c>
      <c r="G438" t="s">
        <v>1043</v>
      </c>
      <c r="H438" t="s">
        <v>1044</v>
      </c>
    </row>
    <row r="439" spans="1:10" x14ac:dyDescent="0.2">
      <c r="A439" t="s">
        <v>213</v>
      </c>
      <c r="B439">
        <v>483</v>
      </c>
      <c r="C439">
        <v>3127</v>
      </c>
      <c r="D439" t="str">
        <f>VLOOKUP(B439,[1]ManipulationPage!$A$3:$D$541,4,FALSE)</f>
        <v>zzz</v>
      </c>
      <c r="E439" t="str">
        <f>IF(VLOOKUP(B439,DishNotes!$B$2:$E$573,4,FALSE)="!","!","")</f>
        <v/>
      </c>
      <c r="F439" t="s">
        <v>612</v>
      </c>
      <c r="G439" t="s">
        <v>613</v>
      </c>
      <c r="H439" t="s">
        <v>612</v>
      </c>
    </row>
    <row r="440" spans="1:10" x14ac:dyDescent="0.2">
      <c r="A440" t="s">
        <v>219</v>
      </c>
      <c r="B440">
        <v>992</v>
      </c>
      <c r="C440">
        <v>5487</v>
      </c>
      <c r="D440" t="str">
        <f>VLOOKUP(B440,[1]ManipulationPage!$A$3:$D$541,4,FALSE)</f>
        <v>zzz</v>
      </c>
      <c r="E440" t="str">
        <f>IF(VLOOKUP(B440,DishNotes!$B$2:$E$573,4,FALSE)="!","!","")</f>
        <v/>
      </c>
      <c r="F440" t="s">
        <v>1048</v>
      </c>
      <c r="G440" t="s">
        <v>1049</v>
      </c>
      <c r="H440" t="s">
        <v>1050</v>
      </c>
      <c r="I440" t="s">
        <v>1051</v>
      </c>
      <c r="J440" t="s">
        <v>1052</v>
      </c>
    </row>
    <row r="441" spans="1:10" x14ac:dyDescent="0.2">
      <c r="A441" t="s">
        <v>235</v>
      </c>
      <c r="B441">
        <v>626</v>
      </c>
      <c r="C441">
        <v>3387</v>
      </c>
      <c r="D441" t="str">
        <f>VLOOKUP(B441,[1]ManipulationPage!$A$3:$D$541,4,FALSE)</f>
        <v>zzz</v>
      </c>
      <c r="E441" t="str">
        <f>IF(VLOOKUP(B441,DishNotes!$B$2:$E$573,4,FALSE)="!","!","")</f>
        <v/>
      </c>
      <c r="F441" t="s">
        <v>1063</v>
      </c>
    </row>
    <row r="442" spans="1:10" x14ac:dyDescent="0.2">
      <c r="A442" t="s">
        <v>249</v>
      </c>
      <c r="B442">
        <v>241</v>
      </c>
      <c r="C442">
        <v>2321</v>
      </c>
      <c r="D442" t="str">
        <f>VLOOKUP(B442,[1]ManipulationPage!$A$3:$D$541,4,FALSE)</f>
        <v>zzz</v>
      </c>
      <c r="E442" t="str">
        <f>IF(VLOOKUP(B442,DishNotes!$B$2:$E$573,4,FALSE)="!","!","")</f>
        <v/>
      </c>
      <c r="F442" t="s">
        <v>1070</v>
      </c>
      <c r="G442" t="s">
        <v>1070</v>
      </c>
      <c r="H442" t="s">
        <v>1071</v>
      </c>
    </row>
    <row r="443" spans="1:10" x14ac:dyDescent="0.2">
      <c r="A443" t="s">
        <v>250</v>
      </c>
      <c r="B443">
        <v>916</v>
      </c>
      <c r="C443">
        <v>4067</v>
      </c>
      <c r="D443" t="str">
        <f>VLOOKUP(B443,[1]ManipulationPage!$A$3:$D$541,4,FALSE)</f>
        <v>zzz</v>
      </c>
      <c r="E443" t="str">
        <f>IF(VLOOKUP(B443,DishNotes!$B$2:$E$573,4,FALSE)="!","!","")</f>
        <v/>
      </c>
      <c r="F443" t="s">
        <v>1072</v>
      </c>
      <c r="G443" t="s">
        <v>1073</v>
      </c>
      <c r="H443" t="s">
        <v>1074</v>
      </c>
    </row>
    <row r="444" spans="1:10" x14ac:dyDescent="0.2">
      <c r="A444" t="s">
        <v>251</v>
      </c>
      <c r="B444">
        <v>914</v>
      </c>
      <c r="C444">
        <v>4059</v>
      </c>
      <c r="D444" t="str">
        <f>VLOOKUP(B444,[1]ManipulationPage!$A$3:$D$541,4,FALSE)</f>
        <v>zzz</v>
      </c>
      <c r="E444" t="str">
        <f>IF(VLOOKUP(B444,DishNotes!$B$2:$E$573,4,FALSE)="!","!","")</f>
        <v/>
      </c>
    </row>
    <row r="445" spans="1:10" x14ac:dyDescent="0.2">
      <c r="A445" t="s">
        <v>294</v>
      </c>
      <c r="B445">
        <v>35</v>
      </c>
      <c r="C445">
        <v>1156</v>
      </c>
      <c r="D445" t="str">
        <f>VLOOKUP(B445,[1]ManipulationPage!$A$3:$D$541,4,FALSE)</f>
        <v>zzz</v>
      </c>
      <c r="E445" t="str">
        <f>IF(VLOOKUP(B445,DishNotes!$B$2:$E$573,4,FALSE)="!","!","")</f>
        <v/>
      </c>
      <c r="F445" t="s">
        <v>1098</v>
      </c>
      <c r="G445" t="s">
        <v>1099</v>
      </c>
      <c r="H445" t="s">
        <v>1100</v>
      </c>
    </row>
    <row r="446" spans="1:10" x14ac:dyDescent="0.2">
      <c r="A446" t="s">
        <v>298</v>
      </c>
      <c r="B446">
        <v>250</v>
      </c>
      <c r="C446">
        <v>2365</v>
      </c>
      <c r="D446" t="str">
        <f>VLOOKUP(B446,[1]ManipulationPage!$A$3:$D$541,4,FALSE)</f>
        <v>zzz</v>
      </c>
      <c r="E446" t="str">
        <f>IF(VLOOKUP(B446,DishNotes!$B$2:$E$573,4,FALSE)="!","!","")</f>
        <v/>
      </c>
      <c r="F446" t="s">
        <v>1101</v>
      </c>
      <c r="G446" t="s">
        <v>1102</v>
      </c>
      <c r="H446" t="s">
        <v>1103</v>
      </c>
    </row>
    <row r="447" spans="1:10" x14ac:dyDescent="0.2">
      <c r="A447" t="s">
        <v>302</v>
      </c>
      <c r="B447">
        <v>90</v>
      </c>
      <c r="C447">
        <v>1414</v>
      </c>
      <c r="D447" t="str">
        <f>VLOOKUP(B447,[1]ManipulationPage!$A$3:$D$541,4,FALSE)</f>
        <v>zzz</v>
      </c>
      <c r="E447" t="str">
        <f>IF(VLOOKUP(B447,DishNotes!$B$2:$E$573,4,FALSE)="!","!","")</f>
        <v/>
      </c>
      <c r="F447" t="s">
        <v>1104</v>
      </c>
      <c r="G447" t="s">
        <v>1105</v>
      </c>
      <c r="H447" t="s">
        <v>1106</v>
      </c>
    </row>
    <row r="448" spans="1:10" x14ac:dyDescent="0.2">
      <c r="A448" t="s">
        <v>332</v>
      </c>
      <c r="B448">
        <v>859</v>
      </c>
      <c r="C448">
        <v>3901</v>
      </c>
      <c r="D448" t="str">
        <f>VLOOKUP(B448,[1]ManipulationPage!$A$3:$D$541,4,FALSE)</f>
        <v>zzz</v>
      </c>
      <c r="E448" t="str">
        <f>IF(VLOOKUP(B448,DishNotes!$B$2:$E$573,4,FALSE)="!","!","")</f>
        <v/>
      </c>
      <c r="F448" t="s">
        <v>1119</v>
      </c>
    </row>
    <row r="449" spans="1:8" x14ac:dyDescent="0.2">
      <c r="A449" t="s">
        <v>334</v>
      </c>
      <c r="B449">
        <v>855</v>
      </c>
      <c r="C449">
        <v>3893</v>
      </c>
      <c r="D449" t="str">
        <f>VLOOKUP(B449,[1]ManipulationPage!$A$3:$D$541,4,FALSE)</f>
        <v>zzz</v>
      </c>
      <c r="E449" t="str">
        <f>IF(VLOOKUP(B449,DishNotes!$B$2:$E$573,4,FALSE)="!","!","")</f>
        <v/>
      </c>
      <c r="F449" t="s">
        <v>1120</v>
      </c>
    </row>
    <row r="450" spans="1:8" x14ac:dyDescent="0.2">
      <c r="A450" t="s">
        <v>336</v>
      </c>
      <c r="B450">
        <v>857</v>
      </c>
      <c r="C450">
        <v>3897</v>
      </c>
      <c r="D450" t="str">
        <f>VLOOKUP(B450,[1]ManipulationPage!$A$3:$D$541,4,FALSE)</f>
        <v>zzz</v>
      </c>
      <c r="E450" t="str">
        <f>IF(VLOOKUP(B450,DishNotes!$B$2:$E$573,4,FALSE)="!","!","")</f>
        <v/>
      </c>
      <c r="F450" t="s">
        <v>1121</v>
      </c>
    </row>
    <row r="451" spans="1:8" x14ac:dyDescent="0.2">
      <c r="A451" t="s">
        <v>338</v>
      </c>
      <c r="B451">
        <v>862</v>
      </c>
      <c r="C451">
        <v>3907</v>
      </c>
      <c r="D451" t="str">
        <f>VLOOKUP(B451,[1]ManipulationPage!$A$3:$D$541,4,FALSE)</f>
        <v>zzz</v>
      </c>
      <c r="E451" t="str">
        <f>IF(VLOOKUP(B451,DishNotes!$B$2:$E$573,4,FALSE)="!","!","")</f>
        <v/>
      </c>
      <c r="F451" t="s">
        <v>1119</v>
      </c>
    </row>
    <row r="452" spans="1:8" x14ac:dyDescent="0.2">
      <c r="A452" t="s">
        <v>339</v>
      </c>
      <c r="B452">
        <v>863</v>
      </c>
      <c r="C452">
        <v>3909</v>
      </c>
      <c r="D452" t="str">
        <f>VLOOKUP(B452,[1]ManipulationPage!$A$3:$D$541,4,FALSE)</f>
        <v>zzz</v>
      </c>
      <c r="E452" t="str">
        <f>IF(VLOOKUP(B452,DishNotes!$B$2:$E$573,4,FALSE)="!","!","")</f>
        <v/>
      </c>
      <c r="F452" t="s">
        <v>1119</v>
      </c>
    </row>
    <row r="453" spans="1:8" x14ac:dyDescent="0.2">
      <c r="A453" t="s">
        <v>340</v>
      </c>
      <c r="B453">
        <v>861</v>
      </c>
      <c r="C453">
        <v>3905</v>
      </c>
      <c r="D453" t="str">
        <f>VLOOKUP(B453,[1]ManipulationPage!$A$3:$D$541,4,FALSE)</f>
        <v>zzz</v>
      </c>
      <c r="E453" t="str">
        <f>IF(VLOOKUP(B453,DishNotes!$B$2:$E$573,4,FALSE)="!","!","")</f>
        <v/>
      </c>
      <c r="F453" t="s">
        <v>1119</v>
      </c>
    </row>
    <row r="454" spans="1:8" x14ac:dyDescent="0.2">
      <c r="A454" t="s">
        <v>341</v>
      </c>
      <c r="B454">
        <v>856</v>
      </c>
      <c r="C454">
        <v>3895</v>
      </c>
      <c r="D454" t="str">
        <f>VLOOKUP(B454,[1]ManipulationPage!$A$3:$D$541,4,FALSE)</f>
        <v>zzz</v>
      </c>
      <c r="E454" t="str">
        <f>IF(VLOOKUP(B454,DishNotes!$B$2:$E$573,4,FALSE)="!","!","")</f>
        <v/>
      </c>
      <c r="F454" t="s">
        <v>1121</v>
      </c>
    </row>
    <row r="455" spans="1:8" x14ac:dyDescent="0.2">
      <c r="A455" t="s">
        <v>343</v>
      </c>
      <c r="B455">
        <v>858</v>
      </c>
      <c r="C455">
        <v>3899</v>
      </c>
      <c r="D455" t="str">
        <f>VLOOKUP(B455,[1]ManipulationPage!$A$3:$D$541,4,FALSE)</f>
        <v>zzz</v>
      </c>
      <c r="E455" t="str">
        <f>IF(VLOOKUP(B455,DishNotes!$B$2:$E$573,4,FALSE)="!","!","")</f>
        <v/>
      </c>
      <c r="F455" t="s">
        <v>1121</v>
      </c>
    </row>
    <row r="456" spans="1:8" x14ac:dyDescent="0.2">
      <c r="A456" t="s">
        <v>344</v>
      </c>
      <c r="B456">
        <v>860</v>
      </c>
      <c r="C456">
        <v>3903</v>
      </c>
      <c r="D456" t="str">
        <f>VLOOKUP(B456,[1]ManipulationPage!$A$3:$D$541,4,FALSE)</f>
        <v>zzz</v>
      </c>
      <c r="E456" t="str">
        <f>IF(VLOOKUP(B456,DishNotes!$B$2:$E$573,4,FALSE)="!","!","")</f>
        <v/>
      </c>
      <c r="F456" t="s">
        <v>1119</v>
      </c>
    </row>
    <row r="457" spans="1:8" x14ac:dyDescent="0.2">
      <c r="A457" t="s">
        <v>362</v>
      </c>
      <c r="B457">
        <v>668</v>
      </c>
      <c r="C457">
        <v>3494</v>
      </c>
      <c r="D457" t="str">
        <f>VLOOKUP(B457,[1]ManipulationPage!$A$3:$D$541,4,FALSE)</f>
        <v>zzz</v>
      </c>
      <c r="E457" t="str">
        <f>IF(VLOOKUP(B457,DishNotes!$B$2:$E$573,4,FALSE)="!","!","")</f>
        <v/>
      </c>
    </row>
    <row r="458" spans="1:8" x14ac:dyDescent="0.2">
      <c r="A458" t="s">
        <v>372</v>
      </c>
      <c r="B458">
        <v>1074</v>
      </c>
      <c r="C458">
        <v>8461</v>
      </c>
      <c r="D458" t="str">
        <f>VLOOKUP(B458,[1]ManipulationPage!$A$3:$D$541,4,FALSE)</f>
        <v>zzz</v>
      </c>
      <c r="E458" t="str">
        <f>IF(VLOOKUP(B458,DishNotes!$B$2:$E$573,4,FALSE)="!","!","")</f>
        <v/>
      </c>
    </row>
    <row r="459" spans="1:8" x14ac:dyDescent="0.2">
      <c r="A459" t="s">
        <v>375</v>
      </c>
      <c r="B459">
        <v>170</v>
      </c>
      <c r="C459">
        <v>1898</v>
      </c>
      <c r="D459" t="str">
        <f>VLOOKUP(B459,[1]ManipulationPage!$A$3:$D$541,4,FALSE)</f>
        <v>zzz</v>
      </c>
      <c r="E459" t="str">
        <f>IF(VLOOKUP(B459,DishNotes!$B$2:$E$573,4,FALSE)="!","!","")</f>
        <v/>
      </c>
      <c r="F459" t="s">
        <v>1143</v>
      </c>
      <c r="G459" t="s">
        <v>1144</v>
      </c>
      <c r="H459" t="s">
        <v>1145</v>
      </c>
    </row>
    <row r="460" spans="1:8" x14ac:dyDescent="0.2">
      <c r="A460" t="s">
        <v>396</v>
      </c>
      <c r="B460">
        <v>603</v>
      </c>
      <c r="C460">
        <v>3297</v>
      </c>
      <c r="D460" t="str">
        <f>VLOOKUP(B460,[1]ManipulationPage!$A$3:$D$541,4,FALSE)</f>
        <v>zzz</v>
      </c>
      <c r="E460" t="str">
        <f>IF(VLOOKUP(B460,DishNotes!$B$2:$E$573,4,FALSE)="!","!","")</f>
        <v/>
      </c>
      <c r="F460" t="s">
        <v>1154</v>
      </c>
    </row>
    <row r="461" spans="1:8" x14ac:dyDescent="0.2">
      <c r="A461" t="s">
        <v>397</v>
      </c>
      <c r="B461">
        <v>339</v>
      </c>
      <c r="C461">
        <v>2785</v>
      </c>
      <c r="D461" t="str">
        <f>VLOOKUP(B461,[1]ManipulationPage!$A$3:$D$541,4,FALSE)</f>
        <v>zzz</v>
      </c>
      <c r="E461" t="str">
        <f>IF(VLOOKUP(B461,DishNotes!$B$2:$E$573,4,FALSE)="!","!","")</f>
        <v/>
      </c>
      <c r="F461" t="s">
        <v>1155</v>
      </c>
      <c r="G461" t="s">
        <v>1155</v>
      </c>
      <c r="H461" t="s">
        <v>1156</v>
      </c>
    </row>
    <row r="462" spans="1:8" x14ac:dyDescent="0.2">
      <c r="A462" t="s">
        <v>402</v>
      </c>
      <c r="B462">
        <v>1090</v>
      </c>
      <c r="C462">
        <v>9186</v>
      </c>
      <c r="D462" t="str">
        <f>VLOOKUP(B462,[1]ManipulationPage!$A$3:$D$541,4,FALSE)</f>
        <v>zzz</v>
      </c>
      <c r="E462" t="str">
        <f>IF(VLOOKUP(B462,DishNotes!$B$2:$E$573,4,FALSE)="!","!","")</f>
        <v/>
      </c>
    </row>
    <row r="463" spans="1:8" x14ac:dyDescent="0.2">
      <c r="A463" t="s">
        <v>409</v>
      </c>
      <c r="B463">
        <v>556</v>
      </c>
      <c r="D463" t="str">
        <f>VLOOKUP(B463,[1]ManipulationPage!$A$3:$D$541,4,FALSE)</f>
        <v>zzz</v>
      </c>
      <c r="E463" t="str">
        <f>IF(VLOOKUP(B463,DishNotes!$B$2:$E$573,4,FALSE)="!","!","")</f>
        <v/>
      </c>
    </row>
    <row r="464" spans="1:8" x14ac:dyDescent="0.2">
      <c r="A464" t="s">
        <v>410</v>
      </c>
      <c r="B464">
        <v>555</v>
      </c>
      <c r="D464" t="str">
        <f>VLOOKUP(B464,[1]ManipulationPage!$A$3:$D$541,4,FALSE)</f>
        <v>zzz</v>
      </c>
      <c r="E464" t="str">
        <f>IF(VLOOKUP(B464,DishNotes!$B$2:$E$573,4,FALSE)="!","!","")</f>
        <v/>
      </c>
    </row>
    <row r="465" spans="1:8" x14ac:dyDescent="0.2">
      <c r="A465" t="s">
        <v>418</v>
      </c>
      <c r="B465">
        <v>340</v>
      </c>
      <c r="C465">
        <v>2793</v>
      </c>
      <c r="D465" t="str">
        <f>VLOOKUP(B465,[1]ManipulationPage!$A$3:$D$541,4,FALSE)</f>
        <v>zzz</v>
      </c>
      <c r="E465" t="str">
        <f>IF(VLOOKUP(B465,DishNotes!$B$2:$E$573,4,FALSE)="!","!","")</f>
        <v/>
      </c>
      <c r="F465" t="s">
        <v>1166</v>
      </c>
      <c r="G465" t="s">
        <v>1167</v>
      </c>
      <c r="H465" t="s">
        <v>1166</v>
      </c>
    </row>
    <row r="466" spans="1:8" x14ac:dyDescent="0.2">
      <c r="A466" t="s">
        <v>422</v>
      </c>
      <c r="B466">
        <v>274</v>
      </c>
      <c r="C466">
        <v>2513</v>
      </c>
      <c r="D466" t="str">
        <f>VLOOKUP(B466,[1]ManipulationPage!$A$3:$D$541,4,FALSE)</f>
        <v>zzz</v>
      </c>
      <c r="E466" t="str">
        <f>IF(VLOOKUP(B466,DishNotes!$B$2:$E$573,4,FALSE)="!","!","")</f>
        <v/>
      </c>
      <c r="F466" t="s">
        <v>1168</v>
      </c>
      <c r="G466" t="s">
        <v>1169</v>
      </c>
      <c r="H466" t="s">
        <v>1170</v>
      </c>
    </row>
    <row r="467" spans="1:8" x14ac:dyDescent="0.2">
      <c r="A467" t="s">
        <v>432</v>
      </c>
      <c r="B467">
        <v>604</v>
      </c>
      <c r="C467">
        <v>3298</v>
      </c>
      <c r="D467" t="str">
        <f>VLOOKUP(B467,[1]ManipulationPage!$A$3:$D$541,4,FALSE)</f>
        <v>zzz</v>
      </c>
      <c r="E467" t="str">
        <f>IF(VLOOKUP(B467,DishNotes!$B$2:$E$573,4,FALSE)="!","!","")</f>
        <v/>
      </c>
    </row>
    <row r="468" spans="1:8" x14ac:dyDescent="0.2">
      <c r="A468" t="s">
        <v>433</v>
      </c>
      <c r="B468">
        <v>606</v>
      </c>
      <c r="C468">
        <v>3306</v>
      </c>
      <c r="D468" t="str">
        <f>VLOOKUP(B468,[1]ManipulationPage!$A$3:$D$541,4,FALSE)</f>
        <v>zzz</v>
      </c>
      <c r="E468" t="str">
        <f>IF(VLOOKUP(B468,DishNotes!$B$2:$E$573,4,FALSE)="!","!","")</f>
        <v/>
      </c>
    </row>
    <row r="469" spans="1:8" x14ac:dyDescent="0.2">
      <c r="A469" t="s">
        <v>437</v>
      </c>
      <c r="B469">
        <v>609</v>
      </c>
      <c r="C469">
        <v>3320</v>
      </c>
      <c r="D469" t="str">
        <f>VLOOKUP(B469,[1]ManipulationPage!$A$3:$D$541,4,FALSE)</f>
        <v>zzz</v>
      </c>
      <c r="E469" t="str">
        <f>IF(VLOOKUP(B469,DishNotes!$B$2:$E$573,4,FALSE)="!","!","")</f>
        <v/>
      </c>
    </row>
    <row r="470" spans="1:8" x14ac:dyDescent="0.2">
      <c r="A470" t="s">
        <v>441</v>
      </c>
      <c r="B470">
        <v>607</v>
      </c>
      <c r="C470">
        <v>3312</v>
      </c>
      <c r="D470" t="str">
        <f>VLOOKUP(B470,[1]ManipulationPage!$A$3:$D$541,4,FALSE)</f>
        <v>zzz</v>
      </c>
      <c r="E470" t="str">
        <f>IF(VLOOKUP(B470,DishNotes!$B$2:$E$573,4,FALSE)="!","!","")</f>
        <v/>
      </c>
    </row>
    <row r="471" spans="1:8" x14ac:dyDescent="0.2">
      <c r="A471" t="s">
        <v>447</v>
      </c>
      <c r="B471">
        <v>560</v>
      </c>
      <c r="D471" t="str">
        <f>VLOOKUP(B471,[1]ManipulationPage!$A$3:$D$541,4,FALSE)</f>
        <v>zzz</v>
      </c>
      <c r="E471" t="str">
        <f>IF(VLOOKUP(B471,DishNotes!$B$2:$E$573,4,FALSE)="!","!","")</f>
        <v/>
      </c>
    </row>
    <row r="472" spans="1:8" x14ac:dyDescent="0.2">
      <c r="A472" t="s">
        <v>454</v>
      </c>
      <c r="B472">
        <v>193</v>
      </c>
      <c r="C472">
        <v>2031</v>
      </c>
      <c r="D472" t="str">
        <f>VLOOKUP(B472,[1]ManipulationPage!$A$3:$D$541,4,FALSE)</f>
        <v>zzz</v>
      </c>
      <c r="E472" t="str">
        <f>IF(VLOOKUP(B472,DishNotes!$B$2:$E$573,4,FALSE)="!","!","")</f>
        <v/>
      </c>
      <c r="F472" t="s">
        <v>1181</v>
      </c>
      <c r="G472" t="s">
        <v>1181</v>
      </c>
      <c r="H472" t="s">
        <v>1182</v>
      </c>
    </row>
    <row r="473" spans="1:8" x14ac:dyDescent="0.2">
      <c r="A473" t="s">
        <v>461</v>
      </c>
      <c r="B473">
        <v>924</v>
      </c>
      <c r="D473" t="str">
        <f>VLOOKUP(B473,[1]ManipulationPage!$A$3:$D$541,4,FALSE)</f>
        <v>zzz</v>
      </c>
      <c r="E473" t="str">
        <f>IF(VLOOKUP(B473,DishNotes!$B$2:$E$573,4,FALSE)="!","!","")</f>
        <v/>
      </c>
    </row>
    <row r="474" spans="1:8" x14ac:dyDescent="0.2">
      <c r="A474" t="s">
        <v>471</v>
      </c>
      <c r="B474">
        <v>99</v>
      </c>
      <c r="C474">
        <v>1464</v>
      </c>
      <c r="D474" t="str">
        <f>VLOOKUP(B474,[1]ManipulationPage!$A$3:$D$541,4,FALSE)</f>
        <v>zzz</v>
      </c>
      <c r="E474" t="str">
        <f>IF(VLOOKUP(B474,DishNotes!$B$2:$E$573,4,FALSE)="!","!","")</f>
        <v/>
      </c>
      <c r="F474" t="s">
        <v>1193</v>
      </c>
      <c r="G474" t="s">
        <v>1194</v>
      </c>
      <c r="H474" t="s">
        <v>1195</v>
      </c>
    </row>
    <row r="475" spans="1:8" x14ac:dyDescent="0.2">
      <c r="A475" t="s">
        <v>481</v>
      </c>
      <c r="B475">
        <v>252</v>
      </c>
      <c r="C475">
        <v>2379</v>
      </c>
      <c r="D475" t="str">
        <f>VLOOKUP(B475,[1]ManipulationPage!$A$3:$D$541,4,FALSE)</f>
        <v>zzz</v>
      </c>
      <c r="E475" t="str">
        <f>IF(VLOOKUP(B475,DishNotes!$B$2:$E$573,4,FALSE)="!","!","")</f>
        <v/>
      </c>
      <c r="F475" t="s">
        <v>1200</v>
      </c>
      <c r="G475" t="s">
        <v>1201</v>
      </c>
      <c r="H475" t="s">
        <v>1202</v>
      </c>
    </row>
    <row r="476" spans="1:8" x14ac:dyDescent="0.2">
      <c r="A476" t="s">
        <v>490</v>
      </c>
      <c r="B476">
        <v>507</v>
      </c>
      <c r="C476">
        <v>3173</v>
      </c>
      <c r="D476" t="str">
        <f>VLOOKUP(B476,[1]ManipulationPage!$A$3:$D$541,4,FALSE)</f>
        <v>zzz</v>
      </c>
      <c r="E476" t="str">
        <f>IF(VLOOKUP(B476,DishNotes!$B$2:$E$573,4,FALSE)="!","!","")</f>
        <v/>
      </c>
      <c r="F476" t="s">
        <v>1211</v>
      </c>
      <c r="G476" t="s">
        <v>1212</v>
      </c>
      <c r="H476" t="s">
        <v>1211</v>
      </c>
    </row>
    <row r="477" spans="1:8" x14ac:dyDescent="0.2">
      <c r="A477" t="s">
        <v>498</v>
      </c>
      <c r="B477">
        <v>1092</v>
      </c>
      <c r="C477">
        <v>9258</v>
      </c>
      <c r="D477" t="str">
        <f>VLOOKUP(B477,[1]ManipulationPage!$A$3:$D$541,4,FALSE)</f>
        <v>zzz</v>
      </c>
      <c r="E477" t="str">
        <f>IF(VLOOKUP(B477,DishNotes!$B$2:$E$573,4,FALSE)="!","!","")</f>
        <v/>
      </c>
    </row>
    <row r="478" spans="1:8" x14ac:dyDescent="0.2">
      <c r="A478" t="s">
        <v>502</v>
      </c>
      <c r="B478">
        <v>669</v>
      </c>
      <c r="C478">
        <v>3496</v>
      </c>
      <c r="D478" t="str">
        <f>VLOOKUP(B478,[1]ManipulationPage!$A$3:$D$541,4,FALSE)</f>
        <v>zzz</v>
      </c>
      <c r="E478" t="str">
        <f>IF(VLOOKUP(B478,DishNotes!$B$2:$E$573,4,FALSE)="!","!","")</f>
        <v/>
      </c>
    </row>
    <row r="479" spans="1:8" x14ac:dyDescent="0.2">
      <c r="A479" t="s">
        <v>507</v>
      </c>
      <c r="B479">
        <v>335</v>
      </c>
      <c r="C479">
        <v>2773</v>
      </c>
      <c r="D479" t="str">
        <f>VLOOKUP(B479,[1]ManipulationPage!$A$3:$D$541,4,FALSE)</f>
        <v>zzz</v>
      </c>
      <c r="E479" t="str">
        <f>IF(VLOOKUP(B479,DishNotes!$B$2:$E$573,4,FALSE)="!","!","")</f>
        <v/>
      </c>
      <c r="F479" t="s">
        <v>1217</v>
      </c>
      <c r="G479" t="s">
        <v>1218</v>
      </c>
      <c r="H479" t="s">
        <v>1219</v>
      </c>
    </row>
    <row r="480" spans="1:8" x14ac:dyDescent="0.2">
      <c r="A480" t="s">
        <v>512</v>
      </c>
      <c r="B480">
        <v>883</v>
      </c>
      <c r="C480">
        <v>3953</v>
      </c>
      <c r="D480" t="str">
        <f>VLOOKUP(B480,[1]ManipulationPage!$A$3:$D$541,4,FALSE)</f>
        <v>zzz</v>
      </c>
      <c r="E480" t="str">
        <f>IF(VLOOKUP(B480,DishNotes!$B$2:$E$573,4,FALSE)="!","!","")</f>
        <v/>
      </c>
      <c r="F480" t="s">
        <v>1220</v>
      </c>
    </row>
    <row r="481" spans="1:8" x14ac:dyDescent="0.2">
      <c r="A481" t="s">
        <v>513</v>
      </c>
      <c r="B481">
        <v>877</v>
      </c>
      <c r="C481">
        <v>3939</v>
      </c>
      <c r="D481" t="str">
        <f>VLOOKUP(B481,[1]ManipulationPage!$A$3:$D$541,4,FALSE)</f>
        <v>zzz</v>
      </c>
      <c r="E481" t="str">
        <f>IF(VLOOKUP(B481,DishNotes!$B$2:$E$573,4,FALSE)="!","!","")</f>
        <v/>
      </c>
      <c r="F481" t="s">
        <v>1221</v>
      </c>
    </row>
    <row r="482" spans="1:8" x14ac:dyDescent="0.2">
      <c r="A482" t="s">
        <v>514</v>
      </c>
      <c r="B482">
        <v>876</v>
      </c>
      <c r="C482">
        <v>3937</v>
      </c>
      <c r="D482" t="str">
        <f>VLOOKUP(B482,[1]ManipulationPage!$A$3:$D$541,4,FALSE)</f>
        <v>zzz</v>
      </c>
      <c r="E482" t="str">
        <f>IF(VLOOKUP(B482,DishNotes!$B$2:$E$573,4,FALSE)="!","!","")</f>
        <v/>
      </c>
      <c r="F482" t="s">
        <v>1222</v>
      </c>
    </row>
    <row r="483" spans="1:8" x14ac:dyDescent="0.2">
      <c r="A483" t="s">
        <v>515</v>
      </c>
      <c r="B483">
        <v>591</v>
      </c>
      <c r="C483">
        <v>3278</v>
      </c>
      <c r="D483" t="str">
        <f>VLOOKUP(B483,[1]ManipulationPage!$A$3:$D$541,4,FALSE)</f>
        <v>zzz</v>
      </c>
      <c r="E483" t="str">
        <f>IF(VLOOKUP(B483,DishNotes!$B$2:$E$573,4,FALSE)="!","!","")</f>
        <v/>
      </c>
      <c r="F483" t="s">
        <v>1223</v>
      </c>
    </row>
    <row r="484" spans="1:8" x14ac:dyDescent="0.2">
      <c r="A484" t="s">
        <v>516</v>
      </c>
      <c r="B484">
        <v>588</v>
      </c>
      <c r="C484">
        <v>3274</v>
      </c>
      <c r="D484" t="str">
        <f>VLOOKUP(B484,[1]ManipulationPage!$A$3:$D$541,4,FALSE)</f>
        <v>zzz</v>
      </c>
      <c r="E484" t="str">
        <f>IF(VLOOKUP(B484,DishNotes!$B$2:$E$573,4,FALSE)="!","!","")</f>
        <v/>
      </c>
      <c r="F484" t="s">
        <v>1224</v>
      </c>
    </row>
    <row r="485" spans="1:8" x14ac:dyDescent="0.2">
      <c r="A485" t="s">
        <v>518</v>
      </c>
      <c r="B485">
        <v>215</v>
      </c>
      <c r="C485">
        <v>2173</v>
      </c>
      <c r="D485" t="str">
        <f>VLOOKUP(B485,[1]ManipulationPage!$A$3:$D$541,4,FALSE)</f>
        <v>zzz</v>
      </c>
      <c r="E485" t="str">
        <f>IF(VLOOKUP(B485,DishNotes!$B$2:$E$573,4,FALSE)="!","!","")</f>
        <v/>
      </c>
      <c r="F485" t="s">
        <v>1225</v>
      </c>
      <c r="G485" t="s">
        <v>1226</v>
      </c>
      <c r="H485" t="s">
        <v>1227</v>
      </c>
    </row>
    <row r="486" spans="1:8" x14ac:dyDescent="0.2">
      <c r="A486" t="s">
        <v>519</v>
      </c>
      <c r="B486">
        <v>559</v>
      </c>
      <c r="D486" t="str">
        <f>VLOOKUP(B486,[1]ManipulationPage!$A$3:$D$541,4,FALSE)</f>
        <v>zzz</v>
      </c>
      <c r="E486" t="str">
        <f>IF(VLOOKUP(B486,DishNotes!$B$2:$E$573,4,FALSE)="!","!","")</f>
        <v/>
      </c>
    </row>
    <row r="487" spans="1:8" x14ac:dyDescent="0.2">
      <c r="A487" t="s">
        <v>536</v>
      </c>
      <c r="B487">
        <v>318</v>
      </c>
      <c r="C487">
        <v>2719</v>
      </c>
      <c r="D487" t="str">
        <f>VLOOKUP(B487,[1]ManipulationPage!$A$3:$D$541,4,FALSE)</f>
        <v>zzz</v>
      </c>
      <c r="E487" t="str">
        <f>IF(VLOOKUP(B487,DishNotes!$B$2:$E$573,4,FALSE)="!","!","")</f>
        <v/>
      </c>
      <c r="F487" t="s">
        <v>1253</v>
      </c>
      <c r="G487" t="s">
        <v>1253</v>
      </c>
      <c r="H487" t="s">
        <v>1253</v>
      </c>
    </row>
    <row r="488" spans="1:8" x14ac:dyDescent="0.2">
      <c r="A488" t="s">
        <v>548</v>
      </c>
      <c r="B488">
        <v>557</v>
      </c>
      <c r="D488" t="str">
        <f>VLOOKUP(B488,[1]ManipulationPage!$A$3:$D$541,4,FALSE)</f>
        <v>zzz</v>
      </c>
      <c r="E488" t="str">
        <f>IF(VLOOKUP(B488,DishNotes!$B$2:$E$573,4,FALSE)="!","!","")</f>
        <v/>
      </c>
    </row>
    <row r="489" spans="1:8" x14ac:dyDescent="0.2">
      <c r="A489" t="s">
        <v>549</v>
      </c>
      <c r="B489">
        <v>558</v>
      </c>
      <c r="D489" t="str">
        <f>VLOOKUP(B489,[1]ManipulationPage!$A$3:$D$541,4,FALSE)</f>
        <v>zzz</v>
      </c>
      <c r="E489" t="str">
        <f>IF(VLOOKUP(B489,DishNotes!$B$2:$E$573,4,FALSE)="!","!","")</f>
        <v/>
      </c>
    </row>
    <row r="490" spans="1:8" x14ac:dyDescent="0.2">
      <c r="A490" t="s">
        <v>561</v>
      </c>
      <c r="B490">
        <v>576</v>
      </c>
      <c r="C490">
        <v>3258</v>
      </c>
      <c r="D490" t="str">
        <f>VLOOKUP(B490,[1]ManipulationPage!$A$3:$D$541,4,FALSE)</f>
        <v>zzz</v>
      </c>
      <c r="E490" t="str">
        <f>IF(VLOOKUP(B490,DishNotes!$B$2:$E$573,4,FALSE)="!","!","")</f>
        <v/>
      </c>
      <c r="F490" t="s">
        <v>1262</v>
      </c>
    </row>
    <row r="491" spans="1:8" x14ac:dyDescent="0.2">
      <c r="A491" t="s">
        <v>578</v>
      </c>
      <c r="B491">
        <v>764</v>
      </c>
      <c r="C491">
        <v>3699</v>
      </c>
      <c r="D491" t="str">
        <f>VLOOKUP(B491,[1]ManipulationPage!$A$3:$D$541,4,FALSE)</f>
        <v>zzz</v>
      </c>
      <c r="E491" t="str">
        <f>IF(VLOOKUP(B491,DishNotes!$B$2:$E$573,4,FALSE)="!","!","")</f>
        <v/>
      </c>
    </row>
    <row r="492" spans="1:8" x14ac:dyDescent="0.2">
      <c r="A492" t="s">
        <v>579</v>
      </c>
      <c r="B492">
        <v>597</v>
      </c>
      <c r="C492">
        <v>3283</v>
      </c>
      <c r="D492" t="str">
        <f>VLOOKUP(B492,[1]ManipulationPage!$A$3:$D$541,4,FALSE)</f>
        <v>zzz</v>
      </c>
      <c r="E492" t="str">
        <f>IF(VLOOKUP(B492,DishNotes!$B$2:$E$573,4,FALSE)="!","!","")</f>
        <v/>
      </c>
      <c r="F492" t="s">
        <v>1279</v>
      </c>
      <c r="G492" t="s">
        <v>1280</v>
      </c>
    </row>
    <row r="493" spans="1:8" x14ac:dyDescent="0.2">
      <c r="A493" t="s">
        <v>598</v>
      </c>
      <c r="B493">
        <v>578</v>
      </c>
      <c r="C493">
        <v>3260</v>
      </c>
      <c r="D493" t="str">
        <f>VLOOKUP(B493,[1]ManipulationPage!$A$3:$D$541,4,FALSE)</f>
        <v>zzz</v>
      </c>
      <c r="E493" t="str">
        <f>IF(VLOOKUP(B493,DishNotes!$B$2:$E$573,4,FALSE)="!","!","")</f>
        <v/>
      </c>
      <c r="F493" t="s">
        <v>1295</v>
      </c>
    </row>
    <row r="494" spans="1:8" x14ac:dyDescent="0.2">
      <c r="A494" t="s">
        <v>607</v>
      </c>
      <c r="B494">
        <v>895</v>
      </c>
      <c r="C494">
        <v>3983</v>
      </c>
      <c r="D494" t="str">
        <f>VLOOKUP(B494,[1]ManipulationPage!$A$3:$D$541,4,FALSE)</f>
        <v>zzz</v>
      </c>
      <c r="E494" t="str">
        <f>IF(VLOOKUP(B494,DishNotes!$B$2:$E$573,4,FALSE)="!","!","")</f>
        <v/>
      </c>
      <c r="F494" t="s">
        <v>1310</v>
      </c>
    </row>
    <row r="495" spans="1:8" x14ac:dyDescent="0.2">
      <c r="A495" t="s">
        <v>608</v>
      </c>
      <c r="B495">
        <v>218</v>
      </c>
      <c r="C495">
        <v>2191</v>
      </c>
      <c r="D495" t="str">
        <f>VLOOKUP(B495,[1]ManipulationPage!$A$3:$D$541,4,FALSE)</f>
        <v>zzz</v>
      </c>
      <c r="E495" t="str">
        <f>IF(VLOOKUP(B495,DishNotes!$B$2:$E$573,4,FALSE)="!","!","")</f>
        <v/>
      </c>
      <c r="F495" t="s">
        <v>1311</v>
      </c>
      <c r="G495" t="s">
        <v>1312</v>
      </c>
      <c r="H495" t="s">
        <v>1313</v>
      </c>
    </row>
    <row r="496" spans="1:8" x14ac:dyDescent="0.2">
      <c r="A496" t="s">
        <v>616</v>
      </c>
      <c r="B496">
        <v>172</v>
      </c>
      <c r="C496">
        <v>1911</v>
      </c>
      <c r="D496" t="str">
        <f>VLOOKUP(B496,[1]ManipulationPage!$A$3:$D$541,4,FALSE)</f>
        <v>zzz</v>
      </c>
      <c r="E496" t="str">
        <f>IF(VLOOKUP(B496,DishNotes!$B$2:$E$573,4,FALSE)="!","!","")</f>
        <v/>
      </c>
      <c r="F496" t="s">
        <v>1317</v>
      </c>
      <c r="G496" t="s">
        <v>1318</v>
      </c>
      <c r="H496" t="s">
        <v>1319</v>
      </c>
    </row>
    <row r="497" spans="1:10" x14ac:dyDescent="0.2">
      <c r="A497" t="s">
        <v>625</v>
      </c>
      <c r="B497">
        <v>796</v>
      </c>
      <c r="C497">
        <v>3762</v>
      </c>
      <c r="D497" t="str">
        <f>VLOOKUP(B497,[1]ManipulationPage!$A$3:$D$541,4,FALSE)</f>
        <v>zzz</v>
      </c>
      <c r="E497" t="str">
        <f>IF(VLOOKUP(B497,DishNotes!$B$2:$E$573,4,FALSE)="!","!","")</f>
        <v/>
      </c>
      <c r="F497" t="s">
        <v>1328</v>
      </c>
    </row>
    <row r="498" spans="1:10" x14ac:dyDescent="0.2">
      <c r="A498" t="s">
        <v>636</v>
      </c>
      <c r="B498">
        <v>290</v>
      </c>
      <c r="C498">
        <v>2613</v>
      </c>
      <c r="D498" t="str">
        <f>VLOOKUP(B498,[1]ManipulationPage!$A$3:$D$541,4,FALSE)</f>
        <v>zzz</v>
      </c>
      <c r="E498" t="str">
        <f>IF(VLOOKUP(B498,DishNotes!$B$2:$E$573,4,FALSE)="!","!","")</f>
        <v/>
      </c>
      <c r="F498" t="s">
        <v>1035</v>
      </c>
      <c r="G498" t="s">
        <v>1036</v>
      </c>
      <c r="H498" t="s">
        <v>1037</v>
      </c>
    </row>
    <row r="499" spans="1:10" x14ac:dyDescent="0.2">
      <c r="A499" t="s">
        <v>638</v>
      </c>
      <c r="B499">
        <v>581</v>
      </c>
      <c r="C499">
        <v>3264</v>
      </c>
      <c r="D499" t="str">
        <f>VLOOKUP(B499,[1]ManipulationPage!$A$3:$D$541,4,FALSE)</f>
        <v>zzz</v>
      </c>
      <c r="E499" t="str">
        <f>IF(VLOOKUP(B499,DishNotes!$B$2:$E$573,4,FALSE)="!","!","")</f>
        <v/>
      </c>
      <c r="F499" t="s">
        <v>1337</v>
      </c>
    </row>
    <row r="500" spans="1:10" x14ac:dyDescent="0.2">
      <c r="A500" t="s">
        <v>640</v>
      </c>
      <c r="B500">
        <v>830</v>
      </c>
      <c r="C500">
        <v>3838</v>
      </c>
      <c r="D500" t="str">
        <f>VLOOKUP(B500,[1]ManipulationPage!$A$3:$D$541,4,FALSE)</f>
        <v>zzz</v>
      </c>
      <c r="E500" t="str">
        <f>IF(VLOOKUP(B500,DishNotes!$B$2:$E$573,4,FALSE)="!","!","")</f>
        <v/>
      </c>
      <c r="F500" t="s">
        <v>1338</v>
      </c>
    </row>
    <row r="501" spans="1:10" x14ac:dyDescent="0.2">
      <c r="A501" t="s">
        <v>642</v>
      </c>
      <c r="B501">
        <v>538</v>
      </c>
      <c r="C501">
        <v>3209</v>
      </c>
      <c r="D501" t="str">
        <f>VLOOKUP(B501,[1]ManipulationPage!$A$3:$D$541,4,FALSE)</f>
        <v>zzz</v>
      </c>
      <c r="E501" t="str">
        <f>IF(VLOOKUP(B501,DishNotes!$B$2:$E$573,4,FALSE)="!","!","")</f>
        <v/>
      </c>
      <c r="F501" t="s">
        <v>1339</v>
      </c>
    </row>
    <row r="502" spans="1:10" x14ac:dyDescent="0.2">
      <c r="A502" t="s">
        <v>646</v>
      </c>
      <c r="B502">
        <v>191</v>
      </c>
      <c r="C502">
        <v>2019</v>
      </c>
      <c r="D502" t="str">
        <f>VLOOKUP(B502,[1]ManipulationPage!$A$3:$D$541,4,FALSE)</f>
        <v>zzz</v>
      </c>
      <c r="E502" t="str">
        <f>IF(VLOOKUP(B502,DishNotes!$B$2:$E$573,4,FALSE)="!","!","")</f>
        <v/>
      </c>
      <c r="F502" t="s">
        <v>1343</v>
      </c>
      <c r="G502" t="s">
        <v>1343</v>
      </c>
      <c r="H502" t="s">
        <v>1344</v>
      </c>
    </row>
    <row r="503" spans="1:10" x14ac:dyDescent="0.2">
      <c r="A503" t="s">
        <v>652</v>
      </c>
      <c r="B503">
        <v>670</v>
      </c>
      <c r="C503">
        <v>3498</v>
      </c>
      <c r="D503" t="str">
        <f>VLOOKUP(B503,[1]ManipulationPage!$A$3:$D$541,4,FALSE)</f>
        <v>zzz</v>
      </c>
      <c r="E503" t="str">
        <f>IF(VLOOKUP(B503,DishNotes!$B$2:$E$573,4,FALSE)="!","!","")</f>
        <v/>
      </c>
    </row>
    <row r="504" spans="1:10" x14ac:dyDescent="0.2">
      <c r="A504" t="s">
        <v>656</v>
      </c>
      <c r="B504">
        <v>343</v>
      </c>
      <c r="C504">
        <v>2817</v>
      </c>
      <c r="D504" t="str">
        <f>VLOOKUP(B504,[1]ManipulationPage!$A$3:$D$541,4,FALSE)</f>
        <v>zzz</v>
      </c>
      <c r="E504" t="str">
        <f>IF(VLOOKUP(B504,DishNotes!$B$2:$E$573,4,FALSE)="!","!","")</f>
        <v/>
      </c>
      <c r="F504" t="s">
        <v>1355</v>
      </c>
      <c r="G504" t="s">
        <v>1356</v>
      </c>
      <c r="H504" t="s">
        <v>1357</v>
      </c>
    </row>
    <row r="505" spans="1:10" x14ac:dyDescent="0.2">
      <c r="A505" t="s">
        <v>694</v>
      </c>
      <c r="B505">
        <v>443</v>
      </c>
      <c r="C505">
        <v>3058</v>
      </c>
      <c r="D505" t="str">
        <f>VLOOKUP(B505,[1]ManipulationPage!$A$3:$D$541,4,FALSE)</f>
        <v>zzz</v>
      </c>
      <c r="E505" t="str">
        <f>IF(VLOOKUP(B505,DishNotes!$B$2:$E$573,4,FALSE)="!","!","")</f>
        <v/>
      </c>
      <c r="F505" t="s">
        <v>1159</v>
      </c>
      <c r="G505" t="s">
        <v>1160</v>
      </c>
      <c r="H505" t="s">
        <v>1159</v>
      </c>
    </row>
    <row r="506" spans="1:10" x14ac:dyDescent="0.2">
      <c r="A506" t="s">
        <v>700</v>
      </c>
      <c r="B506">
        <v>100</v>
      </c>
      <c r="C506">
        <v>1470</v>
      </c>
      <c r="D506" t="str">
        <f>VLOOKUP(B506,[1]ManipulationPage!$A$3:$D$541,4,FALSE)</f>
        <v>zzz</v>
      </c>
      <c r="E506" t="str">
        <f>IF(VLOOKUP(B506,DishNotes!$B$2:$E$573,4,FALSE)="!","!","")</f>
        <v/>
      </c>
      <c r="F506" t="s">
        <v>1382</v>
      </c>
      <c r="G506" t="s">
        <v>1383</v>
      </c>
      <c r="H506" t="s">
        <v>1384</v>
      </c>
    </row>
    <row r="507" spans="1:10" x14ac:dyDescent="0.2">
      <c r="A507" t="s">
        <v>704</v>
      </c>
      <c r="B507">
        <v>773</v>
      </c>
      <c r="C507">
        <v>3717</v>
      </c>
      <c r="D507" t="str">
        <f>VLOOKUP(B507,[1]ManipulationPage!$A$3:$D$541,4,FALSE)</f>
        <v>zzz</v>
      </c>
      <c r="E507" t="str">
        <f>IF(VLOOKUP(B507,DishNotes!$B$2:$E$573,4,FALSE)="!","!","")</f>
        <v/>
      </c>
    </row>
    <row r="508" spans="1:10" x14ac:dyDescent="0.2">
      <c r="A508" t="s">
        <v>708</v>
      </c>
      <c r="B508">
        <v>1087</v>
      </c>
      <c r="C508">
        <v>9022</v>
      </c>
      <c r="D508" t="str">
        <f>VLOOKUP(B508,[1]ManipulationPage!$A$3:$D$541,4,FALSE)</f>
        <v>zzz</v>
      </c>
      <c r="E508" t="str">
        <f>IF(VLOOKUP(B508,DishNotes!$B$2:$E$573,4,FALSE)="!","!","")</f>
        <v/>
      </c>
      <c r="J508" t="s">
        <v>1386</v>
      </c>
    </row>
    <row r="509" spans="1:10" x14ac:dyDescent="0.2">
      <c r="A509" t="s">
        <v>720</v>
      </c>
      <c r="B509">
        <v>1054</v>
      </c>
      <c r="C509">
        <v>7298</v>
      </c>
      <c r="D509" t="str">
        <f>VLOOKUP(B509,[1]ManipulationPage!$A$3:$D$541,4,FALSE)</f>
        <v>zzz</v>
      </c>
      <c r="E509" t="str">
        <f>IF(VLOOKUP(B509,DishNotes!$B$2:$E$573,4,FALSE)="!","!","")</f>
        <v/>
      </c>
      <c r="F509" t="s">
        <v>1000</v>
      </c>
      <c r="G509" t="s">
        <v>1001</v>
      </c>
      <c r="H509" t="s">
        <v>1002</v>
      </c>
      <c r="J509" t="s">
        <v>1003</v>
      </c>
    </row>
    <row r="510" spans="1:10" x14ac:dyDescent="0.2">
      <c r="A510" t="s">
        <v>721</v>
      </c>
      <c r="B510">
        <v>1057</v>
      </c>
      <c r="C510">
        <v>7389</v>
      </c>
      <c r="D510" t="str">
        <f>VLOOKUP(B510,[1]ManipulationPage!$A$3:$D$541,4,FALSE)</f>
        <v>zzz</v>
      </c>
      <c r="E510" t="str">
        <f>IF(VLOOKUP(B510,DishNotes!$B$2:$E$573,4,FALSE)="!","!","")</f>
        <v/>
      </c>
      <c r="F510" t="s">
        <v>1206</v>
      </c>
      <c r="G510" t="s">
        <v>1207</v>
      </c>
      <c r="H510" t="s">
        <v>1208</v>
      </c>
      <c r="I510" t="s">
        <v>1209</v>
      </c>
      <c r="J510" t="s">
        <v>1210</v>
      </c>
    </row>
    <row r="511" spans="1:10" x14ac:dyDescent="0.2">
      <c r="A511" t="s">
        <v>722</v>
      </c>
      <c r="B511">
        <v>1055</v>
      </c>
      <c r="C511">
        <v>7343</v>
      </c>
      <c r="D511" t="str">
        <f>VLOOKUP(B511,[1]ManipulationPage!$A$3:$D$541,4,FALSE)</f>
        <v>zzz</v>
      </c>
      <c r="E511" t="str">
        <f>IF(VLOOKUP(B511,DishNotes!$B$2:$E$573,4,FALSE)="!","!","")</f>
        <v/>
      </c>
      <c r="F511" t="s">
        <v>1391</v>
      </c>
      <c r="G511" t="s">
        <v>1392</v>
      </c>
      <c r="H511" t="s">
        <v>1393</v>
      </c>
      <c r="I511" t="s">
        <v>1394</v>
      </c>
      <c r="J511" t="s">
        <v>1395</v>
      </c>
    </row>
    <row r="512" spans="1:10" x14ac:dyDescent="0.2">
      <c r="A512" t="s">
        <v>724</v>
      </c>
      <c r="B512">
        <v>1053</v>
      </c>
      <c r="C512">
        <v>7280</v>
      </c>
      <c r="D512" t="str">
        <f>VLOOKUP(B512,[1]ManipulationPage!$A$3:$D$541,4,FALSE)</f>
        <v>zzz</v>
      </c>
      <c r="E512" t="str">
        <f>IF(VLOOKUP(B512,DishNotes!$B$2:$E$573,4,FALSE)="!","!","")</f>
        <v/>
      </c>
      <c r="F512" t="s">
        <v>1320</v>
      </c>
      <c r="G512" t="s">
        <v>1321</v>
      </c>
      <c r="H512" t="s">
        <v>1322</v>
      </c>
      <c r="I512" t="s">
        <v>1323</v>
      </c>
      <c r="J512" t="s">
        <v>1324</v>
      </c>
    </row>
    <row r="513" spans="1:8" x14ac:dyDescent="0.2">
      <c r="A513" t="s">
        <v>735</v>
      </c>
      <c r="B513">
        <v>1048</v>
      </c>
      <c r="C513">
        <v>6751</v>
      </c>
      <c r="D513" t="str">
        <f>VLOOKUP(B513,[1]ManipulationPage!$A$3:$D$541,4,FALSE)</f>
        <v>zzz</v>
      </c>
      <c r="E513" t="str">
        <f>IF(VLOOKUP(B513,DishNotes!$B$2:$E$573,4,FALSE)="!","!","")</f>
        <v/>
      </c>
      <c r="F513" t="s">
        <v>1352</v>
      </c>
      <c r="G513" t="s">
        <v>1352</v>
      </c>
      <c r="H513" t="s">
        <v>1353</v>
      </c>
    </row>
    <row r="514" spans="1:8" x14ac:dyDescent="0.2">
      <c r="A514" t="s">
        <v>754</v>
      </c>
      <c r="B514">
        <v>275</v>
      </c>
      <c r="C514">
        <v>2519</v>
      </c>
      <c r="D514" t="str">
        <f>VLOOKUP(B514,[1]ManipulationPage!$A$3:$D$541,4,FALSE)</f>
        <v>zzz</v>
      </c>
      <c r="E514" t="str">
        <f>IF(VLOOKUP(B514,DishNotes!$B$2:$E$573,4,FALSE)="!","!","")</f>
        <v/>
      </c>
      <c r="F514" t="s">
        <v>1414</v>
      </c>
      <c r="G514" t="s">
        <v>1415</v>
      </c>
      <c r="H514" t="s">
        <v>1416</v>
      </c>
    </row>
    <row r="515" spans="1:8" x14ac:dyDescent="0.2">
      <c r="A515" t="s">
        <v>756</v>
      </c>
      <c r="B515">
        <v>97</v>
      </c>
      <c r="C515">
        <v>1448</v>
      </c>
      <c r="D515" t="str">
        <f>VLOOKUP(B515,[1]ManipulationPage!$A$3:$D$541,4,FALSE)</f>
        <v>zzz</v>
      </c>
      <c r="E515" t="str">
        <f>IF(VLOOKUP(B515,DishNotes!$B$2:$E$573,4,FALSE)="!","!","")</f>
        <v/>
      </c>
      <c r="F515" t="s">
        <v>1417</v>
      </c>
      <c r="G515" t="s">
        <v>1418</v>
      </c>
      <c r="H515" t="s">
        <v>1419</v>
      </c>
    </row>
    <row r="516" spans="1:8" x14ac:dyDescent="0.2">
      <c r="A516" t="s">
        <v>759</v>
      </c>
      <c r="B516">
        <v>537</v>
      </c>
      <c r="D516" t="str">
        <f>VLOOKUP(B516,[1]ManipulationPage!$A$3:$D$541,4,FALSE)</f>
        <v>zzz</v>
      </c>
      <c r="E516" t="str">
        <f>IF(VLOOKUP(B516,DishNotes!$B$2:$E$573,4,FALSE)="!","!","")</f>
        <v/>
      </c>
    </row>
    <row r="517" spans="1:8" x14ac:dyDescent="0.2">
      <c r="A517" t="s">
        <v>764</v>
      </c>
      <c r="B517">
        <v>768</v>
      </c>
      <c r="C517">
        <v>3707</v>
      </c>
      <c r="D517" t="str">
        <f>VLOOKUP(B517,[1]ManipulationPage!$A$3:$D$541,4,FALSE)</f>
        <v>zzz</v>
      </c>
      <c r="E517" t="str">
        <f>IF(VLOOKUP(B517,DishNotes!$B$2:$E$573,4,FALSE)="!","!","")</f>
        <v/>
      </c>
    </row>
    <row r="518" spans="1:8" x14ac:dyDescent="0.2">
      <c r="A518" t="s">
        <v>807</v>
      </c>
      <c r="B518">
        <v>1086</v>
      </c>
      <c r="C518">
        <v>9010</v>
      </c>
      <c r="D518" t="str">
        <f>VLOOKUP(B518,[1]ManipulationPage!$A$3:$D$541,4,FALSE)</f>
        <v>zzz</v>
      </c>
      <c r="E518" t="str">
        <f>IF(VLOOKUP(B518,DishNotes!$B$2:$E$573,4,FALSE)="!","!","")</f>
        <v/>
      </c>
    </row>
    <row r="519" spans="1:8" x14ac:dyDescent="0.2">
      <c r="A519" t="s">
        <v>821</v>
      </c>
      <c r="B519">
        <v>656</v>
      </c>
      <c r="C519">
        <v>3462</v>
      </c>
      <c r="D519" t="str">
        <f>VLOOKUP(B519,[1]ManipulationPage!$A$3:$D$541,4,FALSE)</f>
        <v>zzz</v>
      </c>
      <c r="E519" t="str">
        <f>IF(VLOOKUP(B519,DishNotes!$B$2:$E$573,4,FALSE)="!","!","")</f>
        <v/>
      </c>
    </row>
    <row r="520" spans="1:8" x14ac:dyDescent="0.2">
      <c r="A520" t="s">
        <v>833</v>
      </c>
      <c r="B520">
        <v>590</v>
      </c>
      <c r="C520">
        <v>3277</v>
      </c>
      <c r="D520" t="str">
        <f>VLOOKUP(B520,[1]ManipulationPage!$A$3:$D$541,4,FALSE)</f>
        <v>zzz</v>
      </c>
      <c r="E520" t="str">
        <f>IF(VLOOKUP(B520,DishNotes!$B$2:$E$573,4,FALSE)="!","!","")</f>
        <v/>
      </c>
      <c r="F520" t="s">
        <v>1471</v>
      </c>
    </row>
    <row r="521" spans="1:8" x14ac:dyDescent="0.2">
      <c r="A521" t="s">
        <v>834</v>
      </c>
      <c r="B521">
        <v>344</v>
      </c>
      <c r="C521">
        <v>2823</v>
      </c>
      <c r="D521" t="str">
        <f>VLOOKUP(B521,[1]ManipulationPage!$A$3:$D$541,4,FALSE)</f>
        <v>zzz</v>
      </c>
      <c r="E521" t="str">
        <f>IF(VLOOKUP(B521,DishNotes!$B$2:$E$573,4,FALSE)="!","!","")</f>
        <v/>
      </c>
      <c r="F521" t="s">
        <v>1472</v>
      </c>
      <c r="G521" t="s">
        <v>1472</v>
      </c>
      <c r="H521" t="s">
        <v>1473</v>
      </c>
    </row>
    <row r="522" spans="1:8" x14ac:dyDescent="0.2">
      <c r="A522" t="s">
        <v>837</v>
      </c>
      <c r="B522">
        <v>228</v>
      </c>
      <c r="C522">
        <v>2245</v>
      </c>
      <c r="D522" t="str">
        <f>VLOOKUP(B522,[1]ManipulationPage!$A$3:$D$541,4,FALSE)</f>
        <v>zzz</v>
      </c>
      <c r="E522" t="str">
        <f>IF(VLOOKUP(B522,DishNotes!$B$2:$E$573,4,FALSE)="!","!","")</f>
        <v/>
      </c>
      <c r="F522" t="s">
        <v>969</v>
      </c>
      <c r="G522" t="s">
        <v>970</v>
      </c>
      <c r="H522" t="s">
        <v>971</v>
      </c>
    </row>
    <row r="523" spans="1:8" x14ac:dyDescent="0.2">
      <c r="A523" t="s">
        <v>839</v>
      </c>
      <c r="B523">
        <v>229</v>
      </c>
      <c r="C523">
        <v>2251</v>
      </c>
      <c r="D523" t="str">
        <f>VLOOKUP(B523,[1]ManipulationPage!$A$3:$D$541,4,FALSE)</f>
        <v>zzz</v>
      </c>
      <c r="E523" t="str">
        <f>IF(VLOOKUP(B523,DishNotes!$B$2:$E$573,4,FALSE)="!","!","")</f>
        <v/>
      </c>
      <c r="F523" t="s">
        <v>1007</v>
      </c>
      <c r="G523" t="s">
        <v>1007</v>
      </c>
      <c r="H523" t="s">
        <v>1008</v>
      </c>
    </row>
    <row r="524" spans="1:8" x14ac:dyDescent="0.2">
      <c r="A524" t="s">
        <v>840</v>
      </c>
      <c r="B524">
        <v>157</v>
      </c>
      <c r="C524">
        <v>1826</v>
      </c>
      <c r="D524" t="str">
        <f>VLOOKUP(B524,[1]ManipulationPage!$A$3:$D$541,4,FALSE)</f>
        <v>zzz</v>
      </c>
      <c r="E524" t="str">
        <f>IF(VLOOKUP(B524,DishNotes!$B$2:$E$573,4,FALSE)="!","!","")</f>
        <v/>
      </c>
      <c r="F524" t="s">
        <v>977</v>
      </c>
      <c r="G524" t="s">
        <v>978</v>
      </c>
      <c r="H524" t="s">
        <v>979</v>
      </c>
    </row>
    <row r="525" spans="1:8" x14ac:dyDescent="0.2">
      <c r="A525" t="s">
        <v>841</v>
      </c>
      <c r="B525">
        <v>230</v>
      </c>
      <c r="C525">
        <v>2257</v>
      </c>
      <c r="D525" t="str">
        <f>VLOOKUP(B525,[1]ManipulationPage!$A$3:$D$541,4,FALSE)</f>
        <v>zzz</v>
      </c>
      <c r="E525" t="str">
        <f>IF(VLOOKUP(B525,DishNotes!$B$2:$E$573,4,FALSE)="!","!","")</f>
        <v/>
      </c>
      <c r="F525" t="s">
        <v>1474</v>
      </c>
      <c r="G525" t="s">
        <v>1475</v>
      </c>
      <c r="H525" t="s">
        <v>1476</v>
      </c>
    </row>
    <row r="526" spans="1:8" x14ac:dyDescent="0.2">
      <c r="A526" t="s">
        <v>842</v>
      </c>
      <c r="B526">
        <v>159</v>
      </c>
      <c r="C526">
        <v>1840</v>
      </c>
      <c r="D526" t="str">
        <f>VLOOKUP(B526,[1]ManipulationPage!$A$3:$D$541,4,FALSE)</f>
        <v>zzz</v>
      </c>
      <c r="E526" t="str">
        <f>IF(VLOOKUP(B526,DishNotes!$B$2:$E$573,4,FALSE)="!","!","")</f>
        <v/>
      </c>
      <c r="F526" t="s">
        <v>1104</v>
      </c>
      <c r="G526" t="s">
        <v>1105</v>
      </c>
      <c r="H526" t="s">
        <v>1106</v>
      </c>
    </row>
    <row r="527" spans="1:8" x14ac:dyDescent="0.2">
      <c r="A527" t="s">
        <v>843</v>
      </c>
      <c r="B527">
        <v>158</v>
      </c>
      <c r="C527">
        <v>1834</v>
      </c>
      <c r="D527" t="str">
        <f>VLOOKUP(B527,[1]ManipulationPage!$A$3:$D$541,4,FALSE)</f>
        <v>zzz</v>
      </c>
      <c r="E527" t="str">
        <f>IF(VLOOKUP(B527,DishNotes!$B$2:$E$573,4,FALSE)="!","!","")</f>
        <v/>
      </c>
      <c r="F527" t="s">
        <v>1477</v>
      </c>
      <c r="G527" t="s">
        <v>1478</v>
      </c>
      <c r="H527" t="s">
        <v>1479</v>
      </c>
    </row>
    <row r="528" spans="1:8" x14ac:dyDescent="0.2">
      <c r="A528" t="s">
        <v>847</v>
      </c>
      <c r="B528">
        <v>246</v>
      </c>
      <c r="C528">
        <v>2347</v>
      </c>
      <c r="D528" t="str">
        <f>VLOOKUP(B528,[1]ManipulationPage!$A$3:$D$541,4,FALSE)</f>
        <v>zzz</v>
      </c>
      <c r="E528" t="str">
        <f>IF(VLOOKUP(B528,DishNotes!$B$2:$E$573,4,FALSE)="!","!","")</f>
        <v/>
      </c>
      <c r="F528" t="s">
        <v>1104</v>
      </c>
      <c r="G528" t="s">
        <v>1105</v>
      </c>
      <c r="H528" t="s">
        <v>1106</v>
      </c>
    </row>
    <row r="529" spans="1:10" x14ac:dyDescent="0.2">
      <c r="A529" t="s">
        <v>848</v>
      </c>
      <c r="B529">
        <v>156</v>
      </c>
      <c r="C529">
        <v>1820</v>
      </c>
      <c r="D529" t="str">
        <f>VLOOKUP(B529,[1]ManipulationPage!$A$3:$D$541,4,FALSE)</f>
        <v>zzz</v>
      </c>
      <c r="E529" t="str">
        <f>IF(VLOOKUP(B529,DishNotes!$B$2:$E$573,4,FALSE)="!","!","")</f>
        <v/>
      </c>
      <c r="F529" t="s">
        <v>1125</v>
      </c>
      <c r="G529" t="s">
        <v>1126</v>
      </c>
      <c r="H529" t="s">
        <v>1127</v>
      </c>
    </row>
    <row r="530" spans="1:10" x14ac:dyDescent="0.2">
      <c r="A530" t="s">
        <v>849</v>
      </c>
      <c r="B530">
        <v>153</v>
      </c>
      <c r="C530">
        <v>1814</v>
      </c>
      <c r="D530" t="str">
        <f>VLOOKUP(B530,[1]ManipulationPage!$A$3:$D$541,4,FALSE)</f>
        <v>zzz</v>
      </c>
      <c r="E530" t="str">
        <f>IF(VLOOKUP(B530,DishNotes!$B$2:$E$573,4,FALSE)="!","!","")</f>
        <v/>
      </c>
      <c r="F530" t="s">
        <v>1104</v>
      </c>
      <c r="G530" t="s">
        <v>1105</v>
      </c>
      <c r="H530" t="s">
        <v>1106</v>
      </c>
    </row>
    <row r="531" spans="1:10" x14ac:dyDescent="0.2">
      <c r="A531" t="s">
        <v>869</v>
      </c>
      <c r="B531">
        <v>640</v>
      </c>
      <c r="C531">
        <v>3420</v>
      </c>
      <c r="D531" t="str">
        <f>VLOOKUP(B531,[1]ManipulationPage!$A$3:$D$541,4,FALSE)</f>
        <v>zzz</v>
      </c>
      <c r="E531" t="str">
        <f>IF(VLOOKUP(B531,DishNotes!$B$2:$E$573,4,FALSE)="!","!","")</f>
        <v/>
      </c>
      <c r="F531" t="s">
        <v>1494</v>
      </c>
    </row>
    <row r="532" spans="1:10" x14ac:dyDescent="0.2">
      <c r="A532" t="s">
        <v>892</v>
      </c>
      <c r="B532">
        <v>13</v>
      </c>
      <c r="C532">
        <v>1030</v>
      </c>
      <c r="D532" t="str">
        <f>VLOOKUP(B532,[1]ManipulationPage!$A$3:$D$541,4,FALSE)</f>
        <v>zzz</v>
      </c>
      <c r="E532" t="str">
        <f>IF(VLOOKUP(B532,DishNotes!$B$2:$E$573,4,FALSE)="!","!","")</f>
        <v/>
      </c>
      <c r="F532" t="s">
        <v>1513</v>
      </c>
      <c r="G532" t="s">
        <v>1514</v>
      </c>
      <c r="H532" t="s">
        <v>1515</v>
      </c>
    </row>
    <row r="533" spans="1:10" x14ac:dyDescent="0.2">
      <c r="A533" t="s">
        <v>893</v>
      </c>
      <c r="B533">
        <v>553</v>
      </c>
      <c r="D533" t="str">
        <f>VLOOKUP(B533,[1]ManipulationPage!$A$3:$D$541,4,FALSE)</f>
        <v>zzz</v>
      </c>
      <c r="E533" t="str">
        <f>IF(VLOOKUP(B533,DishNotes!$B$2:$E$573,4,FALSE)="!","!","")</f>
        <v/>
      </c>
    </row>
    <row r="534" spans="1:10" x14ac:dyDescent="0.2">
      <c r="A534" t="s">
        <v>894</v>
      </c>
      <c r="B534">
        <v>550</v>
      </c>
      <c r="D534" t="str">
        <f>VLOOKUP(B534,[1]ManipulationPage!$A$3:$D$541,4,FALSE)</f>
        <v>zzz</v>
      </c>
      <c r="E534" t="str">
        <f>IF(VLOOKUP(B534,DishNotes!$B$2:$E$573,4,FALSE)="!","!","")</f>
        <v/>
      </c>
    </row>
    <row r="535" spans="1:10" x14ac:dyDescent="0.2">
      <c r="A535" t="s">
        <v>896</v>
      </c>
      <c r="B535">
        <v>329</v>
      </c>
      <c r="C535">
        <v>2763</v>
      </c>
      <c r="D535" t="str">
        <f>VLOOKUP(B535,[1]ManipulationPage!$A$3:$D$541,4,FALSE)</f>
        <v>zzz</v>
      </c>
      <c r="E535" t="str">
        <f>IF(VLOOKUP(B535,DishNotes!$B$2:$E$573,4,FALSE)="!","!","")</f>
        <v/>
      </c>
      <c r="F535" t="s">
        <v>1516</v>
      </c>
      <c r="G535" t="s">
        <v>1516</v>
      </c>
      <c r="H535" t="s">
        <v>1517</v>
      </c>
    </row>
    <row r="536" spans="1:10" x14ac:dyDescent="0.2">
      <c r="A536" t="s">
        <v>902</v>
      </c>
      <c r="B536">
        <v>224</v>
      </c>
      <c r="C536">
        <v>2225</v>
      </c>
      <c r="D536" t="str">
        <f>VLOOKUP(B536,[1]ManipulationPage!$A$3:$D$541,4,FALSE)</f>
        <v>zzz</v>
      </c>
      <c r="E536" t="str">
        <f>IF(VLOOKUP(B536,DishNotes!$B$2:$E$573,4,FALSE)="!","!","")</f>
        <v/>
      </c>
      <c r="F536" t="s">
        <v>1523</v>
      </c>
      <c r="G536" t="s">
        <v>1523</v>
      </c>
      <c r="H536" t="s">
        <v>1524</v>
      </c>
    </row>
    <row r="537" spans="1:10" x14ac:dyDescent="0.2">
      <c r="A537" t="s">
        <v>904</v>
      </c>
      <c r="B537">
        <v>963</v>
      </c>
      <c r="C537">
        <v>5003</v>
      </c>
      <c r="D537" t="str">
        <f>VLOOKUP(B537,[1]ManipulationPage!$A$3:$D$541,4,FALSE)</f>
        <v>zzz</v>
      </c>
      <c r="E537" t="str">
        <f>IF(VLOOKUP(B537,DishNotes!$B$2:$E$573,4,FALSE)="!","!","")</f>
        <v/>
      </c>
    </row>
    <row r="538" spans="1:10" x14ac:dyDescent="0.2">
      <c r="A538" t="s">
        <v>32</v>
      </c>
      <c r="B538">
        <v>1174</v>
      </c>
      <c r="C538">
        <v>12737</v>
      </c>
      <c r="D538" t="e">
        <f>VLOOKUP(B538,[1]ManipulationPage!$A$3:$D$541,4,FALSE)</f>
        <v>#N/A</v>
      </c>
      <c r="E538" t="str">
        <f>IF(VLOOKUP(B538,DishNotes!$B$2:$E$573,4,FALSE)="!","!","")</f>
        <v/>
      </c>
      <c r="F538" t="s">
        <v>918</v>
      </c>
      <c r="H538" t="s">
        <v>919</v>
      </c>
    </row>
    <row r="539" spans="1:10" x14ac:dyDescent="0.2">
      <c r="A539" t="s">
        <v>45</v>
      </c>
      <c r="B539">
        <v>1178</v>
      </c>
      <c r="C539">
        <v>13392</v>
      </c>
      <c r="D539" t="e">
        <f>VLOOKUP(B539,[1]ManipulationPage!$A$3:$D$541,4,FALSE)</f>
        <v>#N/A</v>
      </c>
      <c r="E539" t="str">
        <f>IF(VLOOKUP(B539,DishNotes!$B$2:$E$573,4,FALSE)="!","!","")</f>
        <v/>
      </c>
    </row>
    <row r="540" spans="1:10" x14ac:dyDescent="0.2">
      <c r="A540" t="s">
        <v>72</v>
      </c>
      <c r="B540">
        <v>1183</v>
      </c>
      <c r="C540">
        <v>13492</v>
      </c>
      <c r="D540" t="e">
        <f>VLOOKUP(B540,[1]ManipulationPage!$A$3:$D$541,4,FALSE)</f>
        <v>#N/A</v>
      </c>
      <c r="E540" t="str">
        <f>IF(VLOOKUP(B540,DishNotes!$B$2:$E$573,4,FALSE)="!","!","")</f>
        <v/>
      </c>
    </row>
    <row r="541" spans="1:10" x14ac:dyDescent="0.2">
      <c r="A541" t="s">
        <v>176</v>
      </c>
      <c r="B541">
        <v>1179</v>
      </c>
      <c r="C541">
        <v>13420</v>
      </c>
      <c r="D541" t="e">
        <f>VLOOKUP(B541,[1]ManipulationPage!$A$3:$D$541,4,FALSE)</f>
        <v>#N/A</v>
      </c>
      <c r="E541" t="str">
        <f>IF(VLOOKUP(B541,DishNotes!$B$2:$E$573,4,FALSE)="!","!","")</f>
        <v/>
      </c>
      <c r="F541" t="s">
        <v>1014</v>
      </c>
      <c r="G541" t="s">
        <v>1015</v>
      </c>
      <c r="H541" t="s">
        <v>1016</v>
      </c>
      <c r="I541" t="s">
        <v>1017</v>
      </c>
      <c r="J541" t="s">
        <v>1018</v>
      </c>
    </row>
    <row r="542" spans="1:10" x14ac:dyDescent="0.2">
      <c r="A542" t="s">
        <v>196</v>
      </c>
      <c r="B542">
        <v>1170</v>
      </c>
      <c r="C542">
        <v>11101</v>
      </c>
      <c r="D542" t="e">
        <f>VLOOKUP(B542,[1]ManipulationPage!$A$3:$D$541,4,FALSE)</f>
        <v>#N/A</v>
      </c>
      <c r="E542" t="str">
        <f>IF(VLOOKUP(B542,DishNotes!$B$2:$E$573,4,FALSE)="!","!","")</f>
        <v>!</v>
      </c>
      <c r="F542" t="s">
        <v>1032</v>
      </c>
      <c r="G542" t="s">
        <v>1033</v>
      </c>
      <c r="H542" t="s">
        <v>1034</v>
      </c>
    </row>
    <row r="543" spans="1:10" x14ac:dyDescent="0.2">
      <c r="A543" t="s">
        <v>292</v>
      </c>
      <c r="B543">
        <v>1162</v>
      </c>
      <c r="C543">
        <v>10873</v>
      </c>
      <c r="D543" t="e">
        <f>VLOOKUP(B543,[1]ManipulationPage!$A$3:$D$541,4,FALSE)</f>
        <v>#N/A</v>
      </c>
      <c r="E543" t="str">
        <f>IF(VLOOKUP(B543,DishNotes!$B$2:$E$573,4,FALSE)="!","!","")</f>
        <v>!</v>
      </c>
    </row>
    <row r="544" spans="1:10" x14ac:dyDescent="0.2">
      <c r="A544" t="s">
        <v>350</v>
      </c>
      <c r="B544">
        <v>1167</v>
      </c>
      <c r="C544">
        <v>10985</v>
      </c>
      <c r="D544" t="e">
        <f>VLOOKUP(B544,[1]ManipulationPage!$A$3:$D$541,4,FALSE)</f>
        <v>#N/A</v>
      </c>
      <c r="E544" t="str">
        <f>IF(VLOOKUP(B544,DishNotes!$B$2:$E$573,4,FALSE)="!","!","")</f>
        <v>!</v>
      </c>
    </row>
    <row r="545" spans="1:10" x14ac:dyDescent="0.2">
      <c r="A545" t="s">
        <v>429</v>
      </c>
      <c r="B545">
        <v>1196</v>
      </c>
      <c r="C545">
        <v>13640</v>
      </c>
      <c r="D545" t="e">
        <f>VLOOKUP(B545,[1]ManipulationPage!$A$3:$D$541,4,FALSE)</f>
        <v>#N/A</v>
      </c>
      <c r="E545" t="str">
        <f>IF(VLOOKUP(B545,DishNotes!$B$2:$E$573,4,FALSE)="!","!","")</f>
        <v>!</v>
      </c>
    </row>
    <row r="546" spans="1:10" x14ac:dyDescent="0.2">
      <c r="A546" t="s">
        <v>511</v>
      </c>
      <c r="B546">
        <v>1198</v>
      </c>
      <c r="C546">
        <v>13656</v>
      </c>
      <c r="D546" t="e">
        <f>VLOOKUP(B546,[1]ManipulationPage!$A$3:$D$541,4,FALSE)</f>
        <v>#N/A</v>
      </c>
      <c r="E546" t="str">
        <f>IF(VLOOKUP(B546,DishNotes!$B$2:$E$573,4,FALSE)="!","!","")</f>
        <v>!</v>
      </c>
    </row>
    <row r="547" spans="1:10" x14ac:dyDescent="0.2">
      <c r="A547" t="s">
        <v>525</v>
      </c>
      <c r="B547">
        <v>1200</v>
      </c>
      <c r="C547">
        <v>13664</v>
      </c>
      <c r="D547" t="e">
        <f>VLOOKUP(B547,[1]ManipulationPage!$A$3:$D$541,4,FALSE)</f>
        <v>#N/A</v>
      </c>
      <c r="E547" t="str">
        <f>IF(VLOOKUP(B547,DishNotes!$B$2:$E$573,4,FALSE)="!","!","")</f>
        <v/>
      </c>
    </row>
    <row r="548" spans="1:10" x14ac:dyDescent="0.2">
      <c r="A548" t="s">
        <v>533</v>
      </c>
      <c r="B548">
        <v>1169</v>
      </c>
      <c r="C548">
        <v>11061</v>
      </c>
      <c r="D548" t="e">
        <f>VLOOKUP(B548,[1]ManipulationPage!$A$3:$D$541,4,FALSE)</f>
        <v>#N/A</v>
      </c>
      <c r="E548" t="str">
        <f>IF(VLOOKUP(B548,DishNotes!$B$2:$E$573,4,FALSE)="!","!","")</f>
        <v>!</v>
      </c>
    </row>
    <row r="549" spans="1:10" x14ac:dyDescent="0.2">
      <c r="A549" t="s">
        <v>544</v>
      </c>
      <c r="B549">
        <v>1193</v>
      </c>
      <c r="C549">
        <v>13618</v>
      </c>
      <c r="D549" t="e">
        <f>VLOOKUP(B549,[1]ManipulationPage!$A$3:$D$541,4,FALSE)</f>
        <v>#N/A</v>
      </c>
      <c r="E549" t="str">
        <f>IF(VLOOKUP(B549,DishNotes!$B$2:$E$573,4,FALSE)="!","!","")</f>
        <v>!</v>
      </c>
    </row>
    <row r="550" spans="1:10" x14ac:dyDescent="0.2">
      <c r="A550" t="s">
        <v>554</v>
      </c>
      <c r="B550">
        <v>1181</v>
      </c>
      <c r="C550">
        <v>13476</v>
      </c>
      <c r="D550" t="e">
        <f>VLOOKUP(B550,[1]ManipulationPage!$A$3:$D$541,4,FALSE)</f>
        <v>#N/A</v>
      </c>
      <c r="E550" t="str">
        <f>IF(VLOOKUP(B550,DishNotes!$B$2:$E$573,4,FALSE)="!","!","")</f>
        <v/>
      </c>
    </row>
    <row r="551" spans="1:10" x14ac:dyDescent="0.2">
      <c r="A551" t="s">
        <v>556</v>
      </c>
      <c r="B551">
        <v>1166</v>
      </c>
      <c r="C551">
        <v>10959</v>
      </c>
      <c r="D551" t="e">
        <f>VLOOKUP(B551,[1]ManipulationPage!$A$3:$D$541,4,FALSE)</f>
        <v>#N/A</v>
      </c>
      <c r="E551" t="str">
        <f>IF(VLOOKUP(B551,DishNotes!$B$2:$E$573,4,FALSE)="!","!","")</f>
        <v>!</v>
      </c>
    </row>
    <row r="552" spans="1:10" x14ac:dyDescent="0.2">
      <c r="A552" t="s">
        <v>559</v>
      </c>
      <c r="B552">
        <v>1180</v>
      </c>
      <c r="C552">
        <v>13466</v>
      </c>
      <c r="D552" t="e">
        <f>VLOOKUP(B552,[1]ManipulationPage!$A$3:$D$541,4,FALSE)</f>
        <v>#N/A</v>
      </c>
      <c r="E552" t="str">
        <f>IF(VLOOKUP(B552,DishNotes!$B$2:$E$573,4,FALSE)="!","!","")</f>
        <v>!</v>
      </c>
    </row>
    <row r="553" spans="1:10" x14ac:dyDescent="0.2">
      <c r="A553" t="s">
        <v>1297</v>
      </c>
      <c r="D553" t="e">
        <f>VLOOKUP(B553,[1]ManipulationPage!$A$3:$D$541,4,FALSE)</f>
        <v>#N/A</v>
      </c>
      <c r="E553" t="e">
        <f>IF(VLOOKUP(B553,DishNotes!$B$2:$E$573,4,FALSE)="!","!","")</f>
        <v>#N/A</v>
      </c>
    </row>
    <row r="554" spans="1:10" x14ac:dyDescent="0.2">
      <c r="A554" t="s">
        <v>1298</v>
      </c>
      <c r="B554" t="s">
        <v>1299</v>
      </c>
      <c r="D554" t="e">
        <f>VLOOKUP(B554,[1]ManipulationPage!$A$3:$D$541,4,FALSE)</f>
        <v>#N/A</v>
      </c>
      <c r="E554" t="e">
        <f>IF(VLOOKUP(B554,DishNotes!$B$2:$E$573,4,FALSE)="!","!","")</f>
        <v>#N/A</v>
      </c>
    </row>
    <row r="555" spans="1:10" x14ac:dyDescent="0.2">
      <c r="A555" t="s">
        <v>1300</v>
      </c>
      <c r="D555" t="e">
        <f>VLOOKUP(B555,[1]ManipulationPage!$A$3:$D$541,4,FALSE)</f>
        <v>#N/A</v>
      </c>
      <c r="E555" t="e">
        <f>IF(VLOOKUP(B555,DishNotes!$B$2:$E$573,4,FALSE)="!","!","")</f>
        <v>#N/A</v>
      </c>
    </row>
    <row r="556" spans="1:10" x14ac:dyDescent="0.2">
      <c r="A556" t="s">
        <v>1301</v>
      </c>
      <c r="B556" t="s">
        <v>1302</v>
      </c>
      <c r="D556" t="e">
        <f>VLOOKUP(B556,[1]ManipulationPage!$A$3:$D$541,4,FALSE)</f>
        <v>#N/A</v>
      </c>
      <c r="E556" t="e">
        <f>IF(VLOOKUP(B556,DishNotes!$B$2:$E$573,4,FALSE)="!","!","")</f>
        <v>#N/A</v>
      </c>
    </row>
    <row r="557" spans="1:10" x14ac:dyDescent="0.2">
      <c r="A557" t="s">
        <v>1303</v>
      </c>
      <c r="D557" t="e">
        <f>VLOOKUP(B557,[1]ManipulationPage!$A$3:$D$541,4,FALSE)</f>
        <v>#N/A</v>
      </c>
      <c r="E557" t="e">
        <f>IF(VLOOKUP(B557,DishNotes!$B$2:$E$573,4,FALSE)="!","!","")</f>
        <v>#N/A</v>
      </c>
    </row>
    <row r="558" spans="1:10" x14ac:dyDescent="0.2">
      <c r="A558" t="s">
        <v>1304</v>
      </c>
      <c r="C558" t="s">
        <v>1305</v>
      </c>
      <c r="D558" t="e">
        <f>VLOOKUP(B558,[1]ManipulationPage!$A$3:$D$541,4,FALSE)</f>
        <v>#N/A</v>
      </c>
      <c r="E558" t="e">
        <f>IF(VLOOKUP(B558,DishNotes!$B$2:$E$573,4,FALSE)="!","!","")</f>
        <v>#N/A</v>
      </c>
    </row>
    <row r="559" spans="1:10" x14ac:dyDescent="0.2">
      <c r="A559" t="s">
        <v>601</v>
      </c>
      <c r="B559">
        <v>1203</v>
      </c>
      <c r="C559">
        <v>14415</v>
      </c>
      <c r="D559" t="e">
        <f>VLOOKUP(B559,[1]ManipulationPage!$A$3:$D$541,4,FALSE)</f>
        <v>#N/A</v>
      </c>
      <c r="E559" t="str">
        <f>IF(VLOOKUP(B559,DishNotes!$B$2:$E$573,4,FALSE)="!","!","")</f>
        <v>!</v>
      </c>
      <c r="F559" t="s">
        <v>1283</v>
      </c>
      <c r="G559" t="s">
        <v>1284</v>
      </c>
      <c r="H559" t="s">
        <v>1285</v>
      </c>
      <c r="J559" t="s">
        <v>1286</v>
      </c>
    </row>
    <row r="560" spans="1:10" x14ac:dyDescent="0.2">
      <c r="A560" t="s">
        <v>1297</v>
      </c>
      <c r="D560" t="e">
        <f>VLOOKUP(B560,[1]ManipulationPage!$A$3:$D$541,4,FALSE)</f>
        <v>#N/A</v>
      </c>
      <c r="E560" t="e">
        <f>IF(VLOOKUP(B560,DishNotes!$B$2:$E$573,4,FALSE)="!","!","")</f>
        <v>#N/A</v>
      </c>
    </row>
    <row r="561" spans="1:8" x14ac:dyDescent="0.2">
      <c r="A561" t="s">
        <v>1298</v>
      </c>
      <c r="B561" t="s">
        <v>1299</v>
      </c>
      <c r="D561" t="e">
        <f>VLOOKUP(B561,[1]ManipulationPage!$A$3:$D$541,4,FALSE)</f>
        <v>#N/A</v>
      </c>
      <c r="E561" t="e">
        <f>IF(VLOOKUP(B561,DishNotes!$B$2:$E$573,4,FALSE)="!","!","")</f>
        <v>#N/A</v>
      </c>
    </row>
    <row r="562" spans="1:8" x14ac:dyDescent="0.2">
      <c r="A562" t="s">
        <v>1300</v>
      </c>
      <c r="D562" t="e">
        <f>VLOOKUP(B562,[1]ManipulationPage!$A$3:$D$541,4,FALSE)</f>
        <v>#N/A</v>
      </c>
      <c r="E562" t="e">
        <f>IF(VLOOKUP(B562,DishNotes!$B$2:$E$573,4,FALSE)="!","!","")</f>
        <v>#N/A</v>
      </c>
    </row>
    <row r="563" spans="1:8" x14ac:dyDescent="0.2">
      <c r="A563" t="s">
        <v>1301</v>
      </c>
      <c r="B563" t="s">
        <v>1302</v>
      </c>
      <c r="D563" t="e">
        <f>VLOOKUP(B563,[1]ManipulationPage!$A$3:$D$541,4,FALSE)</f>
        <v>#N/A</v>
      </c>
      <c r="E563" t="e">
        <f>IF(VLOOKUP(B563,DishNotes!$B$2:$E$573,4,FALSE)="!","!","")</f>
        <v>#N/A</v>
      </c>
    </row>
    <row r="564" spans="1:8" x14ac:dyDescent="0.2">
      <c r="A564" t="s">
        <v>1303</v>
      </c>
      <c r="D564" t="e">
        <f>VLOOKUP(B564,[1]ManipulationPage!$A$3:$D$541,4,FALSE)</f>
        <v>#N/A</v>
      </c>
      <c r="E564" t="e">
        <f>IF(VLOOKUP(B564,DishNotes!$B$2:$E$573,4,FALSE)="!","!","")</f>
        <v>#N/A</v>
      </c>
    </row>
    <row r="565" spans="1:8" x14ac:dyDescent="0.2">
      <c r="A565" t="s">
        <v>1304</v>
      </c>
      <c r="B565" t="s">
        <v>1309</v>
      </c>
      <c r="C565" t="s">
        <v>1305</v>
      </c>
      <c r="D565" t="e">
        <f>VLOOKUP(B565,[1]ManipulationPage!$A$3:$D$541,4,FALSE)</f>
        <v>#N/A</v>
      </c>
      <c r="E565" t="e">
        <f>IF(VLOOKUP(B565,DishNotes!$B$2:$E$573,4,FALSE)="!","!","")</f>
        <v>#N/A</v>
      </c>
    </row>
    <row r="566" spans="1:8" x14ac:dyDescent="0.2">
      <c r="A566" t="s">
        <v>1297</v>
      </c>
      <c r="D566" t="e">
        <f>VLOOKUP(B566,[1]ManipulationPage!$A$3:$D$541,4,FALSE)</f>
        <v>#N/A</v>
      </c>
      <c r="E566" t="e">
        <f>IF(VLOOKUP(B566,DishNotes!$B$2:$E$573,4,FALSE)="!","!","")</f>
        <v>#N/A</v>
      </c>
    </row>
    <row r="567" spans="1:8" x14ac:dyDescent="0.2">
      <c r="A567" t="s">
        <v>1298</v>
      </c>
      <c r="B567" t="s">
        <v>1299</v>
      </c>
      <c r="D567" t="e">
        <f>VLOOKUP(B567,[1]ManipulationPage!$A$3:$D$541,4,FALSE)</f>
        <v>#N/A</v>
      </c>
      <c r="E567" t="e">
        <f>IF(VLOOKUP(B567,DishNotes!$B$2:$E$573,4,FALSE)="!","!","")</f>
        <v>#N/A</v>
      </c>
    </row>
    <row r="568" spans="1:8" x14ac:dyDescent="0.2">
      <c r="A568" t="s">
        <v>1300</v>
      </c>
      <c r="D568" t="e">
        <f>VLOOKUP(B568,[1]ManipulationPage!$A$3:$D$541,4,FALSE)</f>
        <v>#N/A</v>
      </c>
      <c r="E568" t="e">
        <f>IF(VLOOKUP(B568,DishNotes!$B$2:$E$573,4,FALSE)="!","!","")</f>
        <v>#N/A</v>
      </c>
    </row>
    <row r="569" spans="1:8" x14ac:dyDescent="0.2">
      <c r="A569" t="s">
        <v>1301</v>
      </c>
      <c r="B569" t="s">
        <v>1302</v>
      </c>
      <c r="D569" t="e">
        <f>VLOOKUP(B569,[1]ManipulationPage!$A$3:$D$541,4,FALSE)</f>
        <v>#N/A</v>
      </c>
      <c r="E569" t="e">
        <f>IF(VLOOKUP(B569,DishNotes!$B$2:$E$573,4,FALSE)="!","!","")</f>
        <v>#N/A</v>
      </c>
    </row>
    <row r="570" spans="1:8" x14ac:dyDescent="0.2">
      <c r="A570" t="s">
        <v>1303</v>
      </c>
      <c r="D570" t="e">
        <f>VLOOKUP(B570,[1]ManipulationPage!$A$3:$D$541,4,FALSE)</f>
        <v>#N/A</v>
      </c>
      <c r="E570" t="e">
        <f>IF(VLOOKUP(B570,DishNotes!$B$2:$E$573,4,FALSE)="!","!","")</f>
        <v>#N/A</v>
      </c>
    </row>
    <row r="571" spans="1:8" x14ac:dyDescent="0.2">
      <c r="A571" t="s">
        <v>1304</v>
      </c>
      <c r="B571" t="s">
        <v>1309</v>
      </c>
      <c r="C571" t="s">
        <v>1305</v>
      </c>
      <c r="D571" t="e">
        <f>VLOOKUP(B571,[1]ManipulationPage!$A$3:$D$541,4,FALSE)</f>
        <v>#N/A</v>
      </c>
      <c r="E571" t="e">
        <f>IF(VLOOKUP(B571,DishNotes!$B$2:$E$573,4,FALSE)="!","!","")</f>
        <v>#N/A</v>
      </c>
    </row>
    <row r="572" spans="1:8" x14ac:dyDescent="0.2">
      <c r="A572" t="s">
        <v>635</v>
      </c>
      <c r="B572">
        <v>1175</v>
      </c>
      <c r="C572">
        <v>12738</v>
      </c>
      <c r="D572" t="e">
        <f>VLOOKUP(B572,[1]ManipulationPage!$A$3:$D$541,4,FALSE)</f>
        <v>#N/A</v>
      </c>
      <c r="E572" t="str">
        <f>IF(VLOOKUP(B572,DishNotes!$B$2:$E$573,4,FALSE)="!","!","")</f>
        <v>!</v>
      </c>
    </row>
    <row r="573" spans="1:8" x14ac:dyDescent="0.2">
      <c r="A573" t="s">
        <v>637</v>
      </c>
      <c r="B573">
        <v>1177</v>
      </c>
      <c r="C573">
        <v>12877</v>
      </c>
      <c r="D573" t="e">
        <f>VLOOKUP(B573,[1]ManipulationPage!$A$3:$D$541,4,FALSE)</f>
        <v>#N/A</v>
      </c>
      <c r="E573" t="str">
        <f>IF(VLOOKUP(B573,DishNotes!$B$2:$E$573,4,FALSE)="!","!","")</f>
        <v>!</v>
      </c>
      <c r="F573" t="s">
        <v>1325</v>
      </c>
      <c r="G573" t="s">
        <v>1326</v>
      </c>
      <c r="H573" t="s">
        <v>1327</v>
      </c>
    </row>
    <row r="574" spans="1:8" x14ac:dyDescent="0.2">
      <c r="A574" t="s">
        <v>643</v>
      </c>
      <c r="B574">
        <v>1172</v>
      </c>
      <c r="C574">
        <v>11213</v>
      </c>
      <c r="D574" t="e">
        <f>VLOOKUP(B574,[1]ManipulationPage!$A$3:$D$541,4,FALSE)</f>
        <v>#N/A</v>
      </c>
      <c r="E574" t="str">
        <f>IF(VLOOKUP(B574,DishNotes!$B$2:$E$573,4,FALSE)="!","!","")</f>
        <v/>
      </c>
      <c r="F574" t="s">
        <v>1340</v>
      </c>
      <c r="H574" t="s">
        <v>1341</v>
      </c>
    </row>
    <row r="575" spans="1:8" x14ac:dyDescent="0.2">
      <c r="A575" t="s">
        <v>650</v>
      </c>
      <c r="B575">
        <v>1185</v>
      </c>
      <c r="C575">
        <v>13516</v>
      </c>
      <c r="D575" t="e">
        <f>VLOOKUP(B575,[1]ManipulationPage!$A$3:$D$541,4,FALSE)</f>
        <v>#N/A</v>
      </c>
      <c r="E575" t="str">
        <f>IF(VLOOKUP(B575,DishNotes!$B$2:$E$573,4,FALSE)="!","!","")</f>
        <v>!</v>
      </c>
    </row>
    <row r="576" spans="1:8" x14ac:dyDescent="0.2">
      <c r="A576" t="s">
        <v>679</v>
      </c>
      <c r="B576">
        <v>1189</v>
      </c>
      <c r="C576">
        <v>13536</v>
      </c>
      <c r="D576" t="e">
        <f>VLOOKUP(B576,[1]ManipulationPage!$A$3:$D$541,4,FALSE)</f>
        <v>#N/A</v>
      </c>
      <c r="E576" t="str">
        <f>IF(VLOOKUP(B576,DishNotes!$B$2:$E$573,4,FALSE)="!","!","")</f>
        <v>!</v>
      </c>
    </row>
    <row r="577" spans="1:8" x14ac:dyDescent="0.2">
      <c r="A577" t="s">
        <v>707</v>
      </c>
      <c r="B577">
        <v>1164</v>
      </c>
      <c r="C577">
        <v>10890</v>
      </c>
      <c r="D577" t="e">
        <f>VLOOKUP(B577,[1]ManipulationPage!$A$3:$D$541,4,FALSE)</f>
        <v>#N/A</v>
      </c>
      <c r="E577" t="str">
        <f>IF(VLOOKUP(B577,DishNotes!$B$2:$E$573,4,FALSE)="!","!","")</f>
        <v>!</v>
      </c>
    </row>
    <row r="578" spans="1:8" x14ac:dyDescent="0.2">
      <c r="A578" t="s">
        <v>709</v>
      </c>
      <c r="B578">
        <v>1184</v>
      </c>
      <c r="C578">
        <v>13494</v>
      </c>
      <c r="D578" t="e">
        <f>VLOOKUP(B578,[1]ManipulationPage!$A$3:$D$541,4,FALSE)</f>
        <v>#N/A</v>
      </c>
      <c r="E578" t="str">
        <f>IF(VLOOKUP(B578,DishNotes!$B$2:$E$573,4,FALSE)="!","!","")</f>
        <v>!</v>
      </c>
    </row>
    <row r="579" spans="1:8" x14ac:dyDescent="0.2">
      <c r="A579" t="s">
        <v>732</v>
      </c>
      <c r="B579">
        <v>1194</v>
      </c>
      <c r="C579">
        <v>13636</v>
      </c>
      <c r="D579" t="e">
        <f>VLOOKUP(B579,[1]ManipulationPage!$A$3:$D$541,4,FALSE)</f>
        <v>#N/A</v>
      </c>
      <c r="E579" t="str">
        <f>IF(VLOOKUP(B579,DishNotes!$B$2:$E$573,4,FALSE)="!","!","")</f>
        <v>!</v>
      </c>
    </row>
    <row r="580" spans="1:8" x14ac:dyDescent="0.2">
      <c r="A580" t="s">
        <v>755</v>
      </c>
      <c r="B580">
        <v>1186</v>
      </c>
      <c r="C580">
        <v>13530</v>
      </c>
      <c r="D580" t="e">
        <f>VLOOKUP(B580,[1]ManipulationPage!$A$3:$D$541,4,FALSE)</f>
        <v>#N/A</v>
      </c>
      <c r="E580" t="str">
        <f>IF(VLOOKUP(B580,DishNotes!$B$2:$E$573,4,FALSE)="!","!","")</f>
        <v>!</v>
      </c>
    </row>
    <row r="581" spans="1:8" x14ac:dyDescent="0.2">
      <c r="A581" t="s">
        <v>779</v>
      </c>
      <c r="B581">
        <v>1197</v>
      </c>
      <c r="C581">
        <v>13642</v>
      </c>
      <c r="D581" t="e">
        <f>VLOOKUP(B581,[1]ManipulationPage!$A$3:$D$541,4,FALSE)</f>
        <v>#N/A</v>
      </c>
      <c r="E581" t="str">
        <f>IF(VLOOKUP(B581,DishNotes!$B$2:$E$573,4,FALSE)="!","!","")</f>
        <v>!</v>
      </c>
    </row>
    <row r="582" spans="1:8" x14ac:dyDescent="0.2">
      <c r="A582" t="s">
        <v>789</v>
      </c>
      <c r="B582">
        <v>1199</v>
      </c>
      <c r="C582">
        <v>13658</v>
      </c>
      <c r="D582" t="e">
        <f>VLOOKUP(B582,[1]ManipulationPage!$A$3:$D$541,4,FALSE)</f>
        <v>#N/A</v>
      </c>
      <c r="E582" t="str">
        <f>IF(VLOOKUP(B582,DishNotes!$B$2:$E$573,4,FALSE)="!","!","")</f>
        <v>!</v>
      </c>
    </row>
    <row r="583" spans="1:8" x14ac:dyDescent="0.2">
      <c r="A583" t="s">
        <v>808</v>
      </c>
      <c r="B583">
        <v>1165</v>
      </c>
      <c r="D583" t="e">
        <f>VLOOKUP(B583,[1]ManipulationPage!$A$3:$D$541,4,FALSE)</f>
        <v>#N/A</v>
      </c>
      <c r="E583" t="str">
        <f>IF(VLOOKUP(B583,DishNotes!$B$2:$E$573,4,FALSE)="!","!","")</f>
        <v/>
      </c>
    </row>
    <row r="584" spans="1:8" x14ac:dyDescent="0.2">
      <c r="A584" t="s">
        <v>817</v>
      </c>
      <c r="B584">
        <v>1188</v>
      </c>
      <c r="C584">
        <v>13534</v>
      </c>
      <c r="D584" t="e">
        <f>VLOOKUP(B584,[1]ManipulationPage!$A$3:$D$541,4,FALSE)</f>
        <v>#N/A</v>
      </c>
      <c r="E584" t="str">
        <f>IF(VLOOKUP(B584,DishNotes!$B$2:$E$573,4,FALSE)="!","!","")</f>
        <v>!</v>
      </c>
    </row>
    <row r="585" spans="1:8" x14ac:dyDescent="0.2">
      <c r="A585" t="s">
        <v>882</v>
      </c>
      <c r="B585">
        <v>1171</v>
      </c>
      <c r="C585">
        <v>11107</v>
      </c>
      <c r="D585" t="e">
        <f>VLOOKUP(B585,[1]ManipulationPage!$A$3:$D$541,4,FALSE)</f>
        <v>#N/A</v>
      </c>
      <c r="E585" t="str">
        <f>IF(VLOOKUP(B585,DishNotes!$B$2:$E$573,4,FALSE)="!","!","")</f>
        <v>!</v>
      </c>
    </row>
    <row r="586" spans="1:8" x14ac:dyDescent="0.2">
      <c r="A586" t="s">
        <v>883</v>
      </c>
      <c r="B586">
        <v>1187</v>
      </c>
      <c r="C586">
        <v>13532</v>
      </c>
      <c r="D586" t="e">
        <f>VLOOKUP(B586,[1]ManipulationPage!$A$3:$D$541,4,FALSE)</f>
        <v>#N/A</v>
      </c>
      <c r="E586" t="str">
        <f>IF(VLOOKUP(B586,DishNotes!$B$2:$E$573,4,FALSE)="!","!","")</f>
        <v>!</v>
      </c>
    </row>
    <row r="587" spans="1:8" x14ac:dyDescent="0.2">
      <c r="A587" t="s">
        <v>885</v>
      </c>
      <c r="B587">
        <v>1182</v>
      </c>
      <c r="C587">
        <v>13490</v>
      </c>
      <c r="D587" t="e">
        <f>VLOOKUP(B587,[1]ManipulationPage!$A$3:$D$541,4,FALSE)</f>
        <v>#N/A</v>
      </c>
      <c r="E587" t="str">
        <f>IF(VLOOKUP(B587,DishNotes!$B$2:$E$573,4,FALSE)="!","!","")</f>
        <v>!</v>
      </c>
    </row>
    <row r="588" spans="1:8" x14ac:dyDescent="0.2">
      <c r="A588" t="s">
        <v>886</v>
      </c>
      <c r="B588">
        <v>1191</v>
      </c>
      <c r="C588">
        <v>13608</v>
      </c>
      <c r="D588" t="e">
        <f>VLOOKUP(B588,[1]ManipulationPage!$A$3:$D$541,4,FALSE)</f>
        <v>#N/A</v>
      </c>
      <c r="E588" t="str">
        <f>IF(VLOOKUP(B588,DishNotes!$B$2:$E$573,4,FALSE)="!","!","")</f>
        <v>!</v>
      </c>
    </row>
    <row r="589" spans="1:8" x14ac:dyDescent="0.2">
      <c r="A589" t="s">
        <v>887</v>
      </c>
      <c r="B589">
        <v>1195</v>
      </c>
      <c r="C589">
        <v>13638</v>
      </c>
      <c r="D589" t="e">
        <f>VLOOKUP(B589,[1]ManipulationPage!$A$3:$D$541,4,FALSE)</f>
        <v>#N/A</v>
      </c>
      <c r="E589" t="str">
        <f>IF(VLOOKUP(B589,DishNotes!$B$2:$E$573,4,FALSE)="!","!","")</f>
        <v>!</v>
      </c>
    </row>
    <row r="590" spans="1:8" x14ac:dyDescent="0.2">
      <c r="A590" t="s">
        <v>889</v>
      </c>
      <c r="B590">
        <v>1163</v>
      </c>
      <c r="C590">
        <v>10887</v>
      </c>
      <c r="D590" t="e">
        <f>VLOOKUP(B590,[1]ManipulationPage!$A$3:$D$541,4,FALSE)</f>
        <v>#N/A</v>
      </c>
      <c r="E590" t="str">
        <f>IF(VLOOKUP(B590,DishNotes!$B$2:$E$573,4,FALSE)="!","!","")</f>
        <v/>
      </c>
      <c r="G590" t="s">
        <v>486</v>
      </c>
      <c r="H590" t="s">
        <v>486</v>
      </c>
    </row>
    <row r="591" spans="1:8" x14ac:dyDescent="0.2">
      <c r="A591" t="s">
        <v>899</v>
      </c>
      <c r="B591">
        <v>1168</v>
      </c>
      <c r="C591">
        <v>11043</v>
      </c>
      <c r="D591" t="e">
        <f>VLOOKUP(B591,[1]ManipulationPage!$A$3:$D$541,4,FALSE)</f>
        <v>#N/A</v>
      </c>
      <c r="E591" t="str">
        <f>IF(VLOOKUP(B591,DishNotes!$B$2:$E$573,4,FALSE)="!","!","")</f>
        <v>!</v>
      </c>
    </row>
  </sheetData>
  <sortState xmlns:xlrd2="http://schemas.microsoft.com/office/spreadsheetml/2017/richdata2" ref="A2:L591">
    <sortCondition ref="D2:D5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DishNotes</vt:lpstr>
      <vt:lpstr>RecipeNotes</vt:lpstr>
      <vt:lpstr>CookingComponents</vt:lpstr>
      <vt:lpstr>DishDescriptions</vt:lpstr>
      <vt:lpstr>DishDescriptions!descriptions</vt:lpstr>
      <vt:lpstr>Groups</vt:lpstr>
      <vt:lpstr>DishNotes!recipe_notes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Haase</dc:creator>
  <cp:lastModifiedBy>Michael Haase</cp:lastModifiedBy>
  <dcterms:created xsi:type="dcterms:W3CDTF">2022-01-27T11:40:01Z</dcterms:created>
  <dcterms:modified xsi:type="dcterms:W3CDTF">2022-02-10T22:01:57Z</dcterms:modified>
</cp:coreProperties>
</file>